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13_ncr:1_{C1F9B8E1-CB13-492E-A19C-CE95B41A20B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D4" i="2"/>
  <c r="D1" i="2"/>
</calcChain>
</file>

<file path=xl/sharedStrings.xml><?xml version="1.0" encoding="utf-8"?>
<sst xmlns="http://schemas.openxmlformats.org/spreadsheetml/2006/main" count="798" uniqueCount="182">
  <si>
    <t>Income Statement for Week End at 10 Aug 2024</t>
  </si>
  <si>
    <t>Revenue</t>
  </si>
  <si>
    <t>uji</t>
  </si>
  <si>
    <t>1,250</t>
  </si>
  <si>
    <t>Missalettes</t>
  </si>
  <si>
    <t>1,600</t>
  </si>
  <si>
    <t>Total Revenue</t>
  </si>
  <si>
    <t>2,850</t>
  </si>
  <si>
    <t>Cost of Goods Sold</t>
  </si>
  <si>
    <t>955</t>
  </si>
  <si>
    <t>800</t>
  </si>
  <si>
    <t>Total Cost of Goods Sold</t>
  </si>
  <si>
    <t>(1,755)</t>
  </si>
  <si>
    <t>Gross Profit</t>
  </si>
  <si>
    <t>1,095</t>
  </si>
  <si>
    <t>Income Statement for Week End at 17 Aug 2024</t>
  </si>
  <si>
    <t>635</t>
  </si>
  <si>
    <t>2,235</t>
  </si>
  <si>
    <t>925</t>
  </si>
  <si>
    <t>600</t>
  </si>
  <si>
    <t>(1,525)</t>
  </si>
  <si>
    <t>710</t>
  </si>
  <si>
    <t>Income Statement for Week End at 24 Aug 2024</t>
  </si>
  <si>
    <t>1,065</t>
  </si>
  <si>
    <t>2,665</t>
  </si>
  <si>
    <t>(1,725)</t>
  </si>
  <si>
    <t>940</t>
  </si>
  <si>
    <t>Income Statement for Week End at 31 Aug 2024</t>
  </si>
  <si>
    <t>2,060</t>
  </si>
  <si>
    <t>3,660</t>
  </si>
  <si>
    <t>1,935</t>
  </si>
  <si>
    <t>Expenses</t>
  </si>
  <si>
    <t>Deanery Festivals Trivia Mass Contribution</t>
  </si>
  <si>
    <t>820</t>
  </si>
  <si>
    <t>Total Expenses</t>
  </si>
  <si>
    <t>(820)</t>
  </si>
  <si>
    <t>Net Profit</t>
  </si>
  <si>
    <t>1,115</t>
  </si>
  <si>
    <t>Income Statement for Week End at 7 Sept 2024</t>
  </si>
  <si>
    <t>1,380</t>
  </si>
  <si>
    <t>2,980</t>
  </si>
  <si>
    <t>1,015</t>
  </si>
  <si>
    <t>(1,815)</t>
  </si>
  <si>
    <t>1,165</t>
  </si>
  <si>
    <t>Income Statement for Week End at 14 Sept 2024</t>
  </si>
  <si>
    <t>1,732</t>
  </si>
  <si>
    <t>3,332</t>
  </si>
  <si>
    <t>1,607</t>
  </si>
  <si>
    <t>Income Statement for Week End at 21 Sept 2024</t>
  </si>
  <si>
    <t>1,280</t>
  </si>
  <si>
    <t>1,800</t>
  </si>
  <si>
    <t>3,080</t>
  </si>
  <si>
    <t>1,355</t>
  </si>
  <si>
    <t>Zonal Festivals Matega Contribution</t>
  </si>
  <si>
    <t>410</t>
  </si>
  <si>
    <t>(410)</t>
  </si>
  <si>
    <t>945</t>
  </si>
  <si>
    <t>Income Statement for Week End at 28 Sept 2024</t>
  </si>
  <si>
    <t>775</t>
  </si>
  <si>
    <t>2,375</t>
  </si>
  <si>
    <t>630</t>
  </si>
  <si>
    <t>(1,430)</t>
  </si>
  <si>
    <t>Deanery Cultural Day Mass Contribution</t>
  </si>
  <si>
    <t>Incomes</t>
  </si>
  <si>
    <t>Grant</t>
  </si>
  <si>
    <t>100</t>
  </si>
  <si>
    <t>Total Incomes</t>
  </si>
  <si>
    <t>225</t>
  </si>
  <si>
    <t>Income Statement for Week End at 5 Oct 2024</t>
  </si>
  <si>
    <t>1,025</t>
  </si>
  <si>
    <t>2,625</t>
  </si>
  <si>
    <t>1,195</t>
  </si>
  <si>
    <t>ADN Festivals Trivia Matega Contribution</t>
  </si>
  <si>
    <t>785</t>
  </si>
  <si>
    <t>Income Statement for Week End at 12 Oct 2024</t>
  </si>
  <si>
    <t>740</t>
  </si>
  <si>
    <t>2,340</t>
  </si>
  <si>
    <t>700</t>
  </si>
  <si>
    <t>(1,500)</t>
  </si>
  <si>
    <t>840</t>
  </si>
  <si>
    <t>Income Statement for Week End at 19 Oct 2024</t>
  </si>
  <si>
    <t>1,540</t>
  </si>
  <si>
    <t>3,140</t>
  </si>
  <si>
    <t>1,640</t>
  </si>
  <si>
    <t>Joint Mass Contribution</t>
  </si>
  <si>
    <t>2,550</t>
  </si>
  <si>
    <t>(2,550)</t>
  </si>
  <si>
    <t>(910)</t>
  </si>
  <si>
    <t>Income Statement for Week End at 26 Oct 2024</t>
  </si>
  <si>
    <t>835</t>
  </si>
  <si>
    <t>2,435</t>
  </si>
  <si>
    <t>1,005</t>
  </si>
  <si>
    <t>Debt repayment for Goods Sold on Credit</t>
  </si>
  <si>
    <t>220</t>
  </si>
  <si>
    <t>1,225</t>
  </si>
  <si>
    <t>Income Statement for Week End at 2 Nov 2024</t>
  </si>
  <si>
    <t>1,620</t>
  </si>
  <si>
    <t>1,485</t>
  </si>
  <si>
    <t>3,105</t>
  </si>
  <si>
    <t>1,675</t>
  </si>
  <si>
    <t>Ledger Book</t>
  </si>
  <si>
    <t>350</t>
  </si>
  <si>
    <t>Sufuria</t>
  </si>
  <si>
    <t>4,260</t>
  </si>
  <si>
    <t>(4,610)</t>
  </si>
  <si>
    <t>(2,935)</t>
  </si>
  <si>
    <t>Income Statement for Week End at 9 Nov 2024</t>
  </si>
  <si>
    <t>1,220</t>
  </si>
  <si>
    <t>1,900</t>
  </si>
  <si>
    <t>3,120</t>
  </si>
  <si>
    <t>1,000</t>
  </si>
  <si>
    <t>(1,945)</t>
  </si>
  <si>
    <t>1,175</t>
  </si>
  <si>
    <t>Change</t>
  </si>
  <si>
    <t>(800)</t>
  </si>
  <si>
    <t>375</t>
  </si>
  <si>
    <t>Income Statement for Week End at 16 Nov 2024</t>
  </si>
  <si>
    <t>1,995</t>
  </si>
  <si>
    <t>690</t>
  </si>
  <si>
    <t>(1,490)</t>
  </si>
  <si>
    <t>505</t>
  </si>
  <si>
    <t>(295)</t>
  </si>
  <si>
    <t>Income Statement for Week End at 23 Nov 2024</t>
  </si>
  <si>
    <t>1,520</t>
  </si>
  <si>
    <t>1,400</t>
  </si>
  <si>
    <t>2,920</t>
  </si>
  <si>
    <t>(1,290)</t>
  </si>
  <si>
    <t>1,630</t>
  </si>
  <si>
    <t>830</t>
  </si>
  <si>
    <t>Income Statement for Week End at 30 Nov 2024</t>
  </si>
  <si>
    <t>1,050</t>
  </si>
  <si>
    <t>1,135</t>
  </si>
  <si>
    <t>2,185</t>
  </si>
  <si>
    <t>(1,210)</t>
  </si>
  <si>
    <t>975</t>
  </si>
  <si>
    <t>175</t>
  </si>
  <si>
    <t>Income Statement for Week End at 7 Dec 2024</t>
  </si>
  <si>
    <t>1,970</t>
  </si>
  <si>
    <t>3,455</t>
  </si>
  <si>
    <t>895</t>
  </si>
  <si>
    <t>(1,695)</t>
  </si>
  <si>
    <t>1,760</t>
  </si>
  <si>
    <t>Soap</t>
  </si>
  <si>
    <t>50</t>
  </si>
  <si>
    <t>(850)</t>
  </si>
  <si>
    <t>910</t>
  </si>
  <si>
    <t>Income Statement for Week End at 14 Dec 2024</t>
  </si>
  <si>
    <t>1,470</t>
  </si>
  <si>
    <t>2,470</t>
  </si>
  <si>
    <t>500</t>
  </si>
  <si>
    <t>(1,395)</t>
  </si>
  <si>
    <t>1,075</t>
  </si>
  <si>
    <t>275</t>
  </si>
  <si>
    <t>Income Statement for Week End at 21 Dec 2024</t>
  </si>
  <si>
    <t>1,585</t>
  </si>
  <si>
    <t>2,845</t>
  </si>
  <si>
    <t>4,430</t>
  </si>
  <si>
    <t>1,415</t>
  </si>
  <si>
    <t>1,200</t>
  </si>
  <si>
    <t>(2,615)</t>
  </si>
  <si>
    <t>1,815</t>
  </si>
  <si>
    <t>Income Statement for Week End at 28 Dec 2024</t>
  </si>
  <si>
    <t>1,780</t>
  </si>
  <si>
    <t>3,400</t>
  </si>
  <si>
    <t>1,705</t>
  </si>
  <si>
    <t>Drinks</t>
  </si>
  <si>
    <t>330</t>
  </si>
  <si>
    <t>Goat</t>
  </si>
  <si>
    <t>11,000</t>
  </si>
  <si>
    <t>(12,130)</t>
  </si>
  <si>
    <t>(10,425)</t>
  </si>
  <si>
    <t>Income Statement for Week End at 4 Jan 2025</t>
  </si>
  <si>
    <t>1,500</t>
  </si>
  <si>
    <t>2,985</t>
  </si>
  <si>
    <t>1,290</t>
  </si>
  <si>
    <t>Stipend</t>
  </si>
  <si>
    <t>1,215</t>
  </si>
  <si>
    <t>(2,015)</t>
  </si>
  <si>
    <t>(725)</t>
  </si>
  <si>
    <t>Net Profit/Loss</t>
  </si>
  <si>
    <t>(1,058)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</si>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</sst>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b/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indent="2"/>
    </xf>
    <xf numFmtId="0" fontId="2" fillId="0" borderId="1" xfId="0" applyFont="1" applyBorder="1" applyAlignment="1">
      <alignment indent="2"/>
    </xf>
    <xf numFmtId="0" fontId="3" fillId="0" borderId="1" xfId="0" applyFont="1" applyBorder="1" applyAlignment="1">
      <alignment indent="4"/>
    </xf>
    <xf numFmtId="0" fontId="2" fillId="0" borderId="2" xfId="0" applyFont="1" applyBorder="1" applyAlignment="1">
      <alignment indent="2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0" xfId="0" applyFill="1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3"/>
  <sheetViews>
    <sheetView topLeftCell="A81" workbookViewId="0">
      <selection activeCell="A88" sqref="A88"/>
    </sheetView>
  </sheetViews>
  <sheetFormatPr defaultRowHeight="15" x14ac:dyDescent="0.25"/>
  <cols>
    <col min="1" max="1" width="46" customWidth="1"/>
    <col min="2" max="2" width="12" customWidth="1"/>
    <col min="3" max="3" width="47" bestFit="1" customWidth="1"/>
  </cols>
  <sheetData>
    <row r="1" spans="1:3" ht="15.2" customHeight="1" x14ac:dyDescent="0.25">
      <c r="A1" s="5" t="s">
        <v>0</v>
      </c>
      <c r="B1" s="6"/>
      <c r="C1" s="7"/>
    </row>
    <row r="2" spans="1:3" x14ac:dyDescent="0.25">
      <c r="A2" s="1" t="s">
        <v>1</v>
      </c>
      <c r="B2" s="1"/>
    </row>
    <row r="3" spans="1:3" x14ac:dyDescent="0.25">
      <c r="A3" s="3" t="s">
        <v>2</v>
      </c>
      <c r="B3" s="3" t="s">
        <v>3</v>
      </c>
    </row>
    <row r="4" spans="1:3" x14ac:dyDescent="0.25">
      <c r="A4" s="3" t="s">
        <v>4</v>
      </c>
      <c r="B4" s="3" t="s">
        <v>5</v>
      </c>
    </row>
    <row r="5" spans="1:3" x14ac:dyDescent="0.25">
      <c r="A5" s="2" t="s">
        <v>6</v>
      </c>
      <c r="B5" s="2" t="s">
        <v>7</v>
      </c>
    </row>
    <row r="6" spans="1:3" x14ac:dyDescent="0.25">
      <c r="A6" s="1" t="s">
        <v>8</v>
      </c>
      <c r="B6" s="1"/>
    </row>
    <row r="7" spans="1:3" x14ac:dyDescent="0.25">
      <c r="A7" s="3" t="s">
        <v>2</v>
      </c>
      <c r="B7" s="3" t="s">
        <v>9</v>
      </c>
    </row>
    <row r="8" spans="1:3" x14ac:dyDescent="0.25">
      <c r="A8" s="3" t="s">
        <v>4</v>
      </c>
      <c r="B8" s="3" t="s">
        <v>10</v>
      </c>
    </row>
    <row r="9" spans="1:3" x14ac:dyDescent="0.25">
      <c r="A9" s="2" t="s">
        <v>11</v>
      </c>
      <c r="B9" s="2" t="s">
        <v>12</v>
      </c>
    </row>
    <row r="10" spans="1:3" x14ac:dyDescent="0.25">
      <c r="A10" s="2" t="s">
        <v>13</v>
      </c>
      <c r="B10" s="2" t="s">
        <v>14</v>
      </c>
    </row>
    <row r="11" spans="1:3" ht="15.2" customHeight="1" x14ac:dyDescent="0.25">
      <c r="A11" s="5" t="s">
        <v>15</v>
      </c>
      <c r="B11" s="6"/>
    </row>
    <row r="12" spans="1:3" x14ac:dyDescent="0.25">
      <c r="A12" s="1" t="s">
        <v>1</v>
      </c>
      <c r="B12" s="1"/>
    </row>
    <row r="13" spans="1:3" x14ac:dyDescent="0.25">
      <c r="A13" s="3" t="s">
        <v>2</v>
      </c>
      <c r="B13" s="3" t="s">
        <v>16</v>
      </c>
    </row>
    <row r="14" spans="1:3" x14ac:dyDescent="0.25">
      <c r="A14" s="3" t="s">
        <v>4</v>
      </c>
      <c r="B14" s="3" t="s">
        <v>5</v>
      </c>
    </row>
    <row r="15" spans="1:3" x14ac:dyDescent="0.25">
      <c r="A15" s="2" t="s">
        <v>6</v>
      </c>
      <c r="B15" s="2" t="s">
        <v>17</v>
      </c>
    </row>
    <row r="16" spans="1:3" x14ac:dyDescent="0.25">
      <c r="A16" s="1" t="s">
        <v>8</v>
      </c>
      <c r="B16" s="1"/>
    </row>
    <row r="17" spans="1:2" x14ac:dyDescent="0.25">
      <c r="A17" s="3" t="s">
        <v>2</v>
      </c>
      <c r="B17" s="3" t="s">
        <v>18</v>
      </c>
    </row>
    <row r="18" spans="1:2" x14ac:dyDescent="0.25">
      <c r="A18" s="3" t="s">
        <v>4</v>
      </c>
      <c r="B18" s="3" t="s">
        <v>19</v>
      </c>
    </row>
    <row r="19" spans="1:2" x14ac:dyDescent="0.25">
      <c r="A19" s="2" t="s">
        <v>11</v>
      </c>
      <c r="B19" s="2" t="s">
        <v>20</v>
      </c>
    </row>
    <row r="20" spans="1:2" x14ac:dyDescent="0.25">
      <c r="A20" s="2" t="s">
        <v>13</v>
      </c>
      <c r="B20" s="2" t="s">
        <v>21</v>
      </c>
    </row>
    <row r="21" spans="1:2" ht="15.2" customHeight="1" x14ac:dyDescent="0.25">
      <c r="A21" s="5" t="s">
        <v>22</v>
      </c>
      <c r="B21" s="6"/>
    </row>
    <row r="22" spans="1:2" x14ac:dyDescent="0.25">
      <c r="A22" s="1" t="s">
        <v>1</v>
      </c>
      <c r="B22" s="1"/>
    </row>
    <row r="23" spans="1:2" x14ac:dyDescent="0.25">
      <c r="A23" s="3" t="s">
        <v>2</v>
      </c>
      <c r="B23" s="3" t="s">
        <v>23</v>
      </c>
    </row>
    <row r="24" spans="1:2" x14ac:dyDescent="0.25">
      <c r="A24" s="3" t="s">
        <v>4</v>
      </c>
      <c r="B24" s="3" t="s">
        <v>5</v>
      </c>
    </row>
    <row r="25" spans="1:2" x14ac:dyDescent="0.25">
      <c r="A25" s="2" t="s">
        <v>6</v>
      </c>
      <c r="B25" s="2" t="s">
        <v>24</v>
      </c>
    </row>
    <row r="26" spans="1:2" x14ac:dyDescent="0.25">
      <c r="A26" s="1" t="s">
        <v>8</v>
      </c>
      <c r="B26" s="1"/>
    </row>
    <row r="27" spans="1:2" x14ac:dyDescent="0.25">
      <c r="A27" s="3" t="s">
        <v>2</v>
      </c>
      <c r="B27" s="3" t="s">
        <v>18</v>
      </c>
    </row>
    <row r="28" spans="1:2" x14ac:dyDescent="0.25">
      <c r="A28" s="3" t="s">
        <v>4</v>
      </c>
      <c r="B28" s="3" t="s">
        <v>10</v>
      </c>
    </row>
    <row r="29" spans="1:2" x14ac:dyDescent="0.25">
      <c r="A29" s="2" t="s">
        <v>11</v>
      </c>
      <c r="B29" s="2" t="s">
        <v>25</v>
      </c>
    </row>
    <row r="30" spans="1:2" x14ac:dyDescent="0.25">
      <c r="A30" s="2" t="s">
        <v>13</v>
      </c>
      <c r="B30" s="2" t="s">
        <v>26</v>
      </c>
    </row>
    <row r="31" spans="1:2" ht="15.2" customHeight="1" x14ac:dyDescent="0.25">
      <c r="A31" s="5" t="s">
        <v>27</v>
      </c>
      <c r="B31" s="6"/>
    </row>
    <row r="32" spans="1:2" x14ac:dyDescent="0.25">
      <c r="A32" s="1" t="s">
        <v>1</v>
      </c>
      <c r="B32" s="1"/>
    </row>
    <row r="33" spans="1:2" x14ac:dyDescent="0.25">
      <c r="A33" s="3" t="s">
        <v>2</v>
      </c>
      <c r="B33" s="3" t="s">
        <v>28</v>
      </c>
    </row>
    <row r="34" spans="1:2" x14ac:dyDescent="0.25">
      <c r="A34" s="3" t="s">
        <v>4</v>
      </c>
      <c r="B34" s="3" t="s">
        <v>5</v>
      </c>
    </row>
    <row r="35" spans="1:2" x14ac:dyDescent="0.25">
      <c r="A35" s="2" t="s">
        <v>6</v>
      </c>
      <c r="B35" s="2" t="s">
        <v>29</v>
      </c>
    </row>
    <row r="36" spans="1:2" x14ac:dyDescent="0.25">
      <c r="A36" s="1" t="s">
        <v>8</v>
      </c>
      <c r="B36" s="1"/>
    </row>
    <row r="37" spans="1:2" x14ac:dyDescent="0.25">
      <c r="A37" s="3" t="s">
        <v>2</v>
      </c>
      <c r="B37" s="3" t="s">
        <v>18</v>
      </c>
    </row>
    <row r="38" spans="1:2" x14ac:dyDescent="0.25">
      <c r="A38" s="3" t="s">
        <v>4</v>
      </c>
      <c r="B38" s="3" t="s">
        <v>10</v>
      </c>
    </row>
    <row r="39" spans="1:2" x14ac:dyDescent="0.25">
      <c r="A39" s="2" t="s">
        <v>11</v>
      </c>
      <c r="B39" s="2" t="s">
        <v>25</v>
      </c>
    </row>
    <row r="40" spans="1:2" x14ac:dyDescent="0.25">
      <c r="A40" s="2" t="s">
        <v>13</v>
      </c>
      <c r="B40" s="2" t="s">
        <v>30</v>
      </c>
    </row>
    <row r="41" spans="1:2" x14ac:dyDescent="0.25">
      <c r="A41" s="1" t="s">
        <v>31</v>
      </c>
      <c r="B41" s="1"/>
    </row>
    <row r="42" spans="1:2" x14ac:dyDescent="0.25">
      <c r="A42" s="3" t="s">
        <v>32</v>
      </c>
      <c r="B42" s="3" t="s">
        <v>33</v>
      </c>
    </row>
    <row r="43" spans="1:2" x14ac:dyDescent="0.25">
      <c r="A43" s="2" t="s">
        <v>34</v>
      </c>
      <c r="B43" s="2" t="s">
        <v>35</v>
      </c>
    </row>
    <row r="44" spans="1:2" x14ac:dyDescent="0.25">
      <c r="A44" s="2" t="s">
        <v>36</v>
      </c>
      <c r="B44" s="2" t="s">
        <v>37</v>
      </c>
    </row>
    <row r="45" spans="1:2" ht="15.2" customHeight="1" x14ac:dyDescent="0.25">
      <c r="A45" s="5" t="s">
        <v>38</v>
      </c>
      <c r="B45" s="6"/>
    </row>
    <row r="46" spans="1:2" x14ac:dyDescent="0.25">
      <c r="A46" s="1" t="s">
        <v>1</v>
      </c>
      <c r="B46" s="1"/>
    </row>
    <row r="47" spans="1:2" x14ac:dyDescent="0.25">
      <c r="A47" s="3" t="s">
        <v>2</v>
      </c>
      <c r="B47" s="3" t="s">
        <v>39</v>
      </c>
    </row>
    <row r="48" spans="1:2" x14ac:dyDescent="0.25">
      <c r="A48" s="3" t="s">
        <v>4</v>
      </c>
      <c r="B48" s="3" t="s">
        <v>5</v>
      </c>
    </row>
    <row r="49" spans="1:2" x14ac:dyDescent="0.25">
      <c r="A49" s="2" t="s">
        <v>6</v>
      </c>
      <c r="B49" s="2" t="s">
        <v>40</v>
      </c>
    </row>
    <row r="50" spans="1:2" x14ac:dyDescent="0.25">
      <c r="A50" s="1" t="s">
        <v>8</v>
      </c>
      <c r="B50" s="1"/>
    </row>
    <row r="51" spans="1:2" x14ac:dyDescent="0.25">
      <c r="A51" s="3" t="s">
        <v>2</v>
      </c>
      <c r="B51" s="3" t="s">
        <v>41</v>
      </c>
    </row>
    <row r="52" spans="1:2" x14ac:dyDescent="0.25">
      <c r="A52" s="3" t="s">
        <v>4</v>
      </c>
      <c r="B52" s="3" t="s">
        <v>10</v>
      </c>
    </row>
    <row r="53" spans="1:2" x14ac:dyDescent="0.25">
      <c r="A53" s="2" t="s">
        <v>11</v>
      </c>
      <c r="B53" s="2" t="s">
        <v>42</v>
      </c>
    </row>
    <row r="54" spans="1:2" x14ac:dyDescent="0.25">
      <c r="A54" s="2" t="s">
        <v>13</v>
      </c>
      <c r="B54" s="2" t="s">
        <v>43</v>
      </c>
    </row>
    <row r="55" spans="1:2" ht="15.2" customHeight="1" x14ac:dyDescent="0.25">
      <c r="A55" s="5" t="s">
        <v>44</v>
      </c>
      <c r="B55" s="6"/>
    </row>
    <row r="56" spans="1:2" x14ac:dyDescent="0.25">
      <c r="A56" s="1" t="s">
        <v>1</v>
      </c>
      <c r="B56" s="1"/>
    </row>
    <row r="57" spans="1:2" x14ac:dyDescent="0.25">
      <c r="A57" s="3" t="s">
        <v>2</v>
      </c>
      <c r="B57" s="3" t="s">
        <v>45</v>
      </c>
    </row>
    <row r="58" spans="1:2" x14ac:dyDescent="0.25">
      <c r="A58" s="3" t="s">
        <v>4</v>
      </c>
      <c r="B58" s="3" t="s">
        <v>5</v>
      </c>
    </row>
    <row r="59" spans="1:2" x14ac:dyDescent="0.25">
      <c r="A59" s="2" t="s">
        <v>6</v>
      </c>
      <c r="B59" s="2" t="s">
        <v>46</v>
      </c>
    </row>
    <row r="60" spans="1:2" x14ac:dyDescent="0.25">
      <c r="A60" s="1" t="s">
        <v>8</v>
      </c>
      <c r="B60" s="1"/>
    </row>
    <row r="61" spans="1:2" x14ac:dyDescent="0.25">
      <c r="A61" s="3" t="s">
        <v>2</v>
      </c>
      <c r="B61" s="3" t="s">
        <v>18</v>
      </c>
    </row>
    <row r="62" spans="1:2" x14ac:dyDescent="0.25">
      <c r="A62" s="3" t="s">
        <v>4</v>
      </c>
      <c r="B62" s="3" t="s">
        <v>10</v>
      </c>
    </row>
    <row r="63" spans="1:2" x14ac:dyDescent="0.25">
      <c r="A63" s="2" t="s">
        <v>11</v>
      </c>
      <c r="B63" s="2" t="s">
        <v>25</v>
      </c>
    </row>
    <row r="64" spans="1:2" x14ac:dyDescent="0.25">
      <c r="A64" s="2" t="s">
        <v>13</v>
      </c>
      <c r="B64" s="2" t="s">
        <v>47</v>
      </c>
    </row>
    <row r="65" spans="1:2" ht="15.2" customHeight="1" x14ac:dyDescent="0.25">
      <c r="A65" s="5" t="s">
        <v>48</v>
      </c>
      <c r="B65" s="6"/>
    </row>
    <row r="66" spans="1:2" x14ac:dyDescent="0.25">
      <c r="A66" s="1" t="s">
        <v>1</v>
      </c>
      <c r="B66" s="1"/>
    </row>
    <row r="67" spans="1:2" x14ac:dyDescent="0.25">
      <c r="A67" s="3" t="s">
        <v>2</v>
      </c>
      <c r="B67" s="3" t="s">
        <v>49</v>
      </c>
    </row>
    <row r="68" spans="1:2" x14ac:dyDescent="0.25">
      <c r="A68" s="3" t="s">
        <v>4</v>
      </c>
      <c r="B68" s="3" t="s">
        <v>50</v>
      </c>
    </row>
    <row r="69" spans="1:2" x14ac:dyDescent="0.25">
      <c r="A69" s="2" t="s">
        <v>6</v>
      </c>
      <c r="B69" s="2" t="s">
        <v>51</v>
      </c>
    </row>
    <row r="70" spans="1:2" x14ac:dyDescent="0.25">
      <c r="A70" s="1" t="s">
        <v>8</v>
      </c>
      <c r="B70" s="1"/>
    </row>
    <row r="71" spans="1:2" x14ac:dyDescent="0.25">
      <c r="A71" s="3" t="s">
        <v>2</v>
      </c>
      <c r="B71" s="3" t="s">
        <v>18</v>
      </c>
    </row>
    <row r="72" spans="1:2" x14ac:dyDescent="0.25">
      <c r="A72" s="3" t="s">
        <v>4</v>
      </c>
      <c r="B72" s="3" t="s">
        <v>10</v>
      </c>
    </row>
    <row r="73" spans="1:2" x14ac:dyDescent="0.25">
      <c r="A73" s="2" t="s">
        <v>11</v>
      </c>
      <c r="B73" s="2" t="s">
        <v>25</v>
      </c>
    </row>
    <row r="74" spans="1:2" x14ac:dyDescent="0.25">
      <c r="A74" s="2" t="s">
        <v>13</v>
      </c>
      <c r="B74" s="2" t="s">
        <v>52</v>
      </c>
    </row>
    <row r="75" spans="1:2" x14ac:dyDescent="0.25">
      <c r="A75" s="1" t="s">
        <v>31</v>
      </c>
      <c r="B75" s="1"/>
    </row>
    <row r="76" spans="1:2" x14ac:dyDescent="0.25">
      <c r="A76" s="3" t="s">
        <v>53</v>
      </c>
      <c r="B76" s="3" t="s">
        <v>54</v>
      </c>
    </row>
    <row r="77" spans="1:2" x14ac:dyDescent="0.25">
      <c r="A77" s="2" t="s">
        <v>34</v>
      </c>
      <c r="B77" s="2" t="s">
        <v>55</v>
      </c>
    </row>
    <row r="78" spans="1:2" x14ac:dyDescent="0.25">
      <c r="A78" s="2" t="s">
        <v>36</v>
      </c>
      <c r="B78" s="2" t="s">
        <v>56</v>
      </c>
    </row>
    <row r="79" spans="1:2" ht="15.2" customHeight="1" x14ac:dyDescent="0.25">
      <c r="A79" s="5" t="s">
        <v>57</v>
      </c>
      <c r="B79" s="6"/>
    </row>
    <row r="80" spans="1:2" x14ac:dyDescent="0.25">
      <c r="A80" s="1" t="s">
        <v>1</v>
      </c>
      <c r="B80" s="1"/>
    </row>
    <row r="81" spans="1:2" x14ac:dyDescent="0.25">
      <c r="A81" s="3" t="s">
        <v>2</v>
      </c>
      <c r="B81" s="3" t="s">
        <v>58</v>
      </c>
    </row>
    <row r="82" spans="1:2" x14ac:dyDescent="0.25">
      <c r="A82" s="3" t="s">
        <v>4</v>
      </c>
      <c r="B82" s="3" t="s">
        <v>5</v>
      </c>
    </row>
    <row r="83" spans="1:2" x14ac:dyDescent="0.25">
      <c r="A83" s="2" t="s">
        <v>6</v>
      </c>
      <c r="B83" s="2" t="s">
        <v>59</v>
      </c>
    </row>
    <row r="84" spans="1:2" x14ac:dyDescent="0.25">
      <c r="A84" s="1" t="s">
        <v>8</v>
      </c>
      <c r="B84" s="1"/>
    </row>
    <row r="85" spans="1:2" x14ac:dyDescent="0.25">
      <c r="A85" s="3" t="s">
        <v>2</v>
      </c>
      <c r="B85" s="3" t="s">
        <v>60</v>
      </c>
    </row>
    <row r="86" spans="1:2" x14ac:dyDescent="0.25">
      <c r="A86" s="3" t="s">
        <v>4</v>
      </c>
      <c r="B86" s="3" t="s">
        <v>10</v>
      </c>
    </row>
    <row r="87" spans="1:2" x14ac:dyDescent="0.25">
      <c r="A87" s="2" t="s">
        <v>11</v>
      </c>
      <c r="B87" s="2" t="s">
        <v>61</v>
      </c>
    </row>
    <row r="88" spans="1:2" x14ac:dyDescent="0.25">
      <c r="A88" s="2" t="s">
        <v>13</v>
      </c>
      <c r="B88" s="2" t="s">
        <v>56</v>
      </c>
    </row>
    <row r="89" spans="1:2" x14ac:dyDescent="0.25">
      <c r="A89" s="1" t="s">
        <v>31</v>
      </c>
      <c r="B89" s="1"/>
    </row>
    <row r="90" spans="1:2" x14ac:dyDescent="0.25">
      <c r="A90" s="3" t="s">
        <v>62</v>
      </c>
      <c r="B90" s="3" t="s">
        <v>33</v>
      </c>
    </row>
    <row r="91" spans="1:2" x14ac:dyDescent="0.25">
      <c r="A91" s="2" t="s">
        <v>34</v>
      </c>
      <c r="B91" s="2" t="s">
        <v>35</v>
      </c>
    </row>
    <row r="92" spans="1:2" x14ac:dyDescent="0.25">
      <c r="A92" s="1" t="s">
        <v>63</v>
      </c>
      <c r="B92" s="1"/>
    </row>
    <row r="93" spans="1:2" x14ac:dyDescent="0.25">
      <c r="A93" s="3" t="s">
        <v>64</v>
      </c>
      <c r="B93" s="3" t="s">
        <v>65</v>
      </c>
    </row>
    <row r="94" spans="1:2" x14ac:dyDescent="0.25">
      <c r="A94" s="2" t="s">
        <v>66</v>
      </c>
      <c r="B94" s="2" t="s">
        <v>65</v>
      </c>
    </row>
    <row r="95" spans="1:2" x14ac:dyDescent="0.25">
      <c r="A95" s="2" t="s">
        <v>36</v>
      </c>
      <c r="B95" s="2" t="s">
        <v>67</v>
      </c>
    </row>
    <row r="96" spans="1:2" ht="15.2" customHeight="1" x14ac:dyDescent="0.25">
      <c r="A96" s="5" t="s">
        <v>68</v>
      </c>
      <c r="B96" s="6"/>
    </row>
    <row r="97" spans="1:2" x14ac:dyDescent="0.25">
      <c r="A97" s="1" t="s">
        <v>1</v>
      </c>
      <c r="B97" s="1"/>
    </row>
    <row r="98" spans="1:2" x14ac:dyDescent="0.25">
      <c r="A98" s="3" t="s">
        <v>2</v>
      </c>
      <c r="B98" s="3" t="s">
        <v>69</v>
      </c>
    </row>
    <row r="99" spans="1:2" x14ac:dyDescent="0.25">
      <c r="A99" s="3" t="s">
        <v>4</v>
      </c>
      <c r="B99" s="3" t="s">
        <v>5</v>
      </c>
    </row>
    <row r="100" spans="1:2" x14ac:dyDescent="0.25">
      <c r="A100" s="2" t="s">
        <v>6</v>
      </c>
      <c r="B100" s="2" t="s">
        <v>70</v>
      </c>
    </row>
    <row r="101" spans="1:2" x14ac:dyDescent="0.25">
      <c r="A101" s="1" t="s">
        <v>8</v>
      </c>
      <c r="B101" s="1"/>
    </row>
    <row r="102" spans="1:2" x14ac:dyDescent="0.25">
      <c r="A102" s="3" t="s">
        <v>2</v>
      </c>
      <c r="B102" s="3" t="s">
        <v>60</v>
      </c>
    </row>
    <row r="103" spans="1:2" x14ac:dyDescent="0.25">
      <c r="A103" s="3" t="s">
        <v>4</v>
      </c>
      <c r="B103" s="3" t="s">
        <v>10</v>
      </c>
    </row>
    <row r="104" spans="1:2" x14ac:dyDescent="0.25">
      <c r="A104" s="2" t="s">
        <v>11</v>
      </c>
      <c r="B104" s="2" t="s">
        <v>61</v>
      </c>
    </row>
    <row r="105" spans="1:2" x14ac:dyDescent="0.25">
      <c r="A105" s="2" t="s">
        <v>13</v>
      </c>
      <c r="B105" s="2" t="s">
        <v>71</v>
      </c>
    </row>
    <row r="106" spans="1:2" x14ac:dyDescent="0.25">
      <c r="A106" s="1" t="s">
        <v>31</v>
      </c>
      <c r="B106" s="1"/>
    </row>
    <row r="107" spans="1:2" x14ac:dyDescent="0.25">
      <c r="A107" s="3" t="s">
        <v>72</v>
      </c>
      <c r="B107" s="3" t="s">
        <v>54</v>
      </c>
    </row>
    <row r="108" spans="1:2" x14ac:dyDescent="0.25">
      <c r="A108" s="2" t="s">
        <v>34</v>
      </c>
      <c r="B108" s="2" t="s">
        <v>55</v>
      </c>
    </row>
    <row r="109" spans="1:2" x14ac:dyDescent="0.25">
      <c r="A109" s="2" t="s">
        <v>36</v>
      </c>
      <c r="B109" s="2" t="s">
        <v>73</v>
      </c>
    </row>
    <row r="110" spans="1:2" ht="15.2" customHeight="1" x14ac:dyDescent="0.25">
      <c r="A110" s="5" t="s">
        <v>74</v>
      </c>
      <c r="B110" s="6"/>
    </row>
    <row r="111" spans="1:2" x14ac:dyDescent="0.25">
      <c r="A111" s="1" t="s">
        <v>1</v>
      </c>
      <c r="B111" s="1"/>
    </row>
    <row r="112" spans="1:2" x14ac:dyDescent="0.25">
      <c r="A112" s="3" t="s">
        <v>2</v>
      </c>
      <c r="B112" s="3" t="s">
        <v>75</v>
      </c>
    </row>
    <row r="113" spans="1:2" x14ac:dyDescent="0.25">
      <c r="A113" s="3" t="s">
        <v>4</v>
      </c>
      <c r="B113" s="3" t="s">
        <v>5</v>
      </c>
    </row>
    <row r="114" spans="1:2" x14ac:dyDescent="0.25">
      <c r="A114" s="2" t="s">
        <v>6</v>
      </c>
      <c r="B114" s="2" t="s">
        <v>76</v>
      </c>
    </row>
    <row r="115" spans="1:2" x14ac:dyDescent="0.25">
      <c r="A115" s="1" t="s">
        <v>8</v>
      </c>
      <c r="B115" s="1"/>
    </row>
    <row r="116" spans="1:2" x14ac:dyDescent="0.25">
      <c r="A116" s="3" t="s">
        <v>2</v>
      </c>
      <c r="B116" s="3" t="s">
        <v>77</v>
      </c>
    </row>
    <row r="117" spans="1:2" x14ac:dyDescent="0.25">
      <c r="A117" s="3" t="s">
        <v>4</v>
      </c>
      <c r="B117" s="3" t="s">
        <v>10</v>
      </c>
    </row>
    <row r="118" spans="1:2" x14ac:dyDescent="0.25">
      <c r="A118" s="2" t="s">
        <v>11</v>
      </c>
      <c r="B118" s="2" t="s">
        <v>78</v>
      </c>
    </row>
    <row r="119" spans="1:2" x14ac:dyDescent="0.25">
      <c r="A119" s="2" t="s">
        <v>13</v>
      </c>
      <c r="B119" s="2" t="s">
        <v>79</v>
      </c>
    </row>
    <row r="120" spans="1:2" ht="15.2" customHeight="1" x14ac:dyDescent="0.25">
      <c r="A120" s="5" t="s">
        <v>80</v>
      </c>
      <c r="B120" s="6"/>
    </row>
    <row r="121" spans="1:2" x14ac:dyDescent="0.25">
      <c r="A121" s="1" t="s">
        <v>1</v>
      </c>
      <c r="B121" s="1"/>
    </row>
    <row r="122" spans="1:2" x14ac:dyDescent="0.25">
      <c r="A122" s="3" t="s">
        <v>2</v>
      </c>
      <c r="B122" s="3" t="s">
        <v>81</v>
      </c>
    </row>
    <row r="123" spans="1:2" x14ac:dyDescent="0.25">
      <c r="A123" s="3" t="s">
        <v>4</v>
      </c>
      <c r="B123" s="3" t="s">
        <v>5</v>
      </c>
    </row>
    <row r="124" spans="1:2" x14ac:dyDescent="0.25">
      <c r="A124" s="2" t="s">
        <v>6</v>
      </c>
      <c r="B124" s="2" t="s">
        <v>82</v>
      </c>
    </row>
    <row r="125" spans="1:2" x14ac:dyDescent="0.25">
      <c r="A125" s="1" t="s">
        <v>8</v>
      </c>
      <c r="B125" s="1"/>
    </row>
    <row r="126" spans="1:2" x14ac:dyDescent="0.25">
      <c r="A126" s="3" t="s">
        <v>2</v>
      </c>
      <c r="B126" s="3" t="s">
        <v>77</v>
      </c>
    </row>
    <row r="127" spans="1:2" x14ac:dyDescent="0.25">
      <c r="A127" s="3" t="s">
        <v>4</v>
      </c>
      <c r="B127" s="3" t="s">
        <v>10</v>
      </c>
    </row>
    <row r="128" spans="1:2" x14ac:dyDescent="0.25">
      <c r="A128" s="2" t="s">
        <v>11</v>
      </c>
      <c r="B128" s="2" t="s">
        <v>78</v>
      </c>
    </row>
    <row r="129" spans="1:2" x14ac:dyDescent="0.25">
      <c r="A129" s="2" t="s">
        <v>13</v>
      </c>
      <c r="B129" s="2" t="s">
        <v>83</v>
      </c>
    </row>
    <row r="130" spans="1:2" x14ac:dyDescent="0.25">
      <c r="A130" s="1" t="s">
        <v>31</v>
      </c>
      <c r="B130" s="1"/>
    </row>
    <row r="131" spans="1:2" x14ac:dyDescent="0.25">
      <c r="A131" s="3" t="s">
        <v>84</v>
      </c>
      <c r="B131" s="3" t="s">
        <v>85</v>
      </c>
    </row>
    <row r="132" spans="1:2" x14ac:dyDescent="0.25">
      <c r="A132" s="2" t="s">
        <v>34</v>
      </c>
      <c r="B132" s="2" t="s">
        <v>86</v>
      </c>
    </row>
    <row r="133" spans="1:2" x14ac:dyDescent="0.25">
      <c r="A133" s="2" t="s">
        <v>36</v>
      </c>
      <c r="B133" s="2" t="s">
        <v>87</v>
      </c>
    </row>
    <row r="134" spans="1:2" ht="15.2" customHeight="1" x14ac:dyDescent="0.25">
      <c r="A134" s="5" t="s">
        <v>88</v>
      </c>
      <c r="B134" s="6"/>
    </row>
    <row r="135" spans="1:2" x14ac:dyDescent="0.25">
      <c r="A135" s="1" t="s">
        <v>1</v>
      </c>
      <c r="B135" s="1"/>
    </row>
    <row r="136" spans="1:2" x14ac:dyDescent="0.25">
      <c r="A136" s="3" t="s">
        <v>2</v>
      </c>
      <c r="B136" s="3" t="s">
        <v>89</v>
      </c>
    </row>
    <row r="137" spans="1:2" x14ac:dyDescent="0.25">
      <c r="A137" s="3" t="s">
        <v>4</v>
      </c>
      <c r="B137" s="3" t="s">
        <v>5</v>
      </c>
    </row>
    <row r="138" spans="1:2" x14ac:dyDescent="0.25">
      <c r="A138" s="2" t="s">
        <v>6</v>
      </c>
      <c r="B138" s="2" t="s">
        <v>90</v>
      </c>
    </row>
    <row r="139" spans="1:2" x14ac:dyDescent="0.25">
      <c r="A139" s="1" t="s">
        <v>8</v>
      </c>
      <c r="B139" s="1"/>
    </row>
    <row r="140" spans="1:2" x14ac:dyDescent="0.25">
      <c r="A140" s="3" t="s">
        <v>2</v>
      </c>
      <c r="B140" s="3" t="s">
        <v>60</v>
      </c>
    </row>
    <row r="141" spans="1:2" x14ac:dyDescent="0.25">
      <c r="A141" s="3" t="s">
        <v>4</v>
      </c>
      <c r="B141" s="3" t="s">
        <v>10</v>
      </c>
    </row>
    <row r="142" spans="1:2" x14ac:dyDescent="0.25">
      <c r="A142" s="2" t="s">
        <v>11</v>
      </c>
      <c r="B142" s="2" t="s">
        <v>61</v>
      </c>
    </row>
    <row r="143" spans="1:2" x14ac:dyDescent="0.25">
      <c r="A143" s="2" t="s">
        <v>13</v>
      </c>
      <c r="B143" s="2" t="s">
        <v>91</v>
      </c>
    </row>
    <row r="144" spans="1:2" x14ac:dyDescent="0.25">
      <c r="A144" s="1" t="s">
        <v>63</v>
      </c>
      <c r="B144" s="1"/>
    </row>
    <row r="145" spans="1:2" x14ac:dyDescent="0.25">
      <c r="A145" s="3" t="s">
        <v>92</v>
      </c>
      <c r="B145" s="3" t="s">
        <v>93</v>
      </c>
    </row>
    <row r="146" spans="1:2" x14ac:dyDescent="0.25">
      <c r="A146" s="2" t="s">
        <v>66</v>
      </c>
      <c r="B146" s="2" t="s">
        <v>93</v>
      </c>
    </row>
    <row r="147" spans="1:2" x14ac:dyDescent="0.25">
      <c r="A147" s="2" t="s">
        <v>36</v>
      </c>
      <c r="B147" s="2" t="s">
        <v>94</v>
      </c>
    </row>
    <row r="148" spans="1:2" ht="15.2" customHeight="1" x14ac:dyDescent="0.25">
      <c r="A148" s="5" t="s">
        <v>95</v>
      </c>
      <c r="B148" s="6"/>
    </row>
    <row r="149" spans="1:2" x14ac:dyDescent="0.25">
      <c r="A149" s="1" t="s">
        <v>1</v>
      </c>
      <c r="B149" s="1"/>
    </row>
    <row r="150" spans="1:2" x14ac:dyDescent="0.25">
      <c r="A150" s="3" t="s">
        <v>2</v>
      </c>
      <c r="B150" s="3" t="s">
        <v>96</v>
      </c>
    </row>
    <row r="151" spans="1:2" x14ac:dyDescent="0.25">
      <c r="A151" s="3" t="s">
        <v>4</v>
      </c>
      <c r="B151" s="3" t="s">
        <v>97</v>
      </c>
    </row>
    <row r="152" spans="1:2" x14ac:dyDescent="0.25">
      <c r="A152" s="2" t="s">
        <v>6</v>
      </c>
      <c r="B152" s="2" t="s">
        <v>98</v>
      </c>
    </row>
    <row r="153" spans="1:2" x14ac:dyDescent="0.25">
      <c r="A153" s="1" t="s">
        <v>8</v>
      </c>
      <c r="B153" s="1"/>
    </row>
    <row r="154" spans="1:2" x14ac:dyDescent="0.25">
      <c r="A154" s="3" t="s">
        <v>2</v>
      </c>
      <c r="B154" s="3" t="s">
        <v>60</v>
      </c>
    </row>
    <row r="155" spans="1:2" x14ac:dyDescent="0.25">
      <c r="A155" s="3" t="s">
        <v>4</v>
      </c>
      <c r="B155" s="3" t="s">
        <v>10</v>
      </c>
    </row>
    <row r="156" spans="1:2" x14ac:dyDescent="0.25">
      <c r="A156" s="2" t="s">
        <v>11</v>
      </c>
      <c r="B156" s="2" t="s">
        <v>61</v>
      </c>
    </row>
    <row r="157" spans="1:2" x14ac:dyDescent="0.25">
      <c r="A157" s="2" t="s">
        <v>13</v>
      </c>
      <c r="B157" s="2" t="s">
        <v>99</v>
      </c>
    </row>
    <row r="158" spans="1:2" x14ac:dyDescent="0.25">
      <c r="A158" s="1" t="s">
        <v>31</v>
      </c>
      <c r="B158" s="1"/>
    </row>
    <row r="159" spans="1:2" x14ac:dyDescent="0.25">
      <c r="A159" s="3" t="s">
        <v>100</v>
      </c>
      <c r="B159" s="3" t="s">
        <v>101</v>
      </c>
    </row>
    <row r="160" spans="1:2" x14ac:dyDescent="0.25">
      <c r="A160" s="3" t="s">
        <v>102</v>
      </c>
      <c r="B160" s="3" t="s">
        <v>103</v>
      </c>
    </row>
    <row r="161" spans="1:2" x14ac:dyDescent="0.25">
      <c r="A161" s="2" t="s">
        <v>34</v>
      </c>
      <c r="B161" s="2" t="s">
        <v>104</v>
      </c>
    </row>
    <row r="162" spans="1:2" x14ac:dyDescent="0.25">
      <c r="A162" s="2" t="s">
        <v>36</v>
      </c>
      <c r="B162" s="2" t="s">
        <v>105</v>
      </c>
    </row>
    <row r="163" spans="1:2" ht="15.2" customHeight="1" x14ac:dyDescent="0.25">
      <c r="A163" s="5" t="s">
        <v>106</v>
      </c>
      <c r="B163" s="6"/>
    </row>
    <row r="164" spans="1:2" x14ac:dyDescent="0.25">
      <c r="A164" s="1" t="s">
        <v>1</v>
      </c>
      <c r="B164" s="1"/>
    </row>
    <row r="165" spans="1:2" x14ac:dyDescent="0.25">
      <c r="A165" s="3" t="s">
        <v>2</v>
      </c>
      <c r="B165" s="3" t="s">
        <v>107</v>
      </c>
    </row>
    <row r="166" spans="1:2" x14ac:dyDescent="0.25">
      <c r="A166" s="3" t="s">
        <v>4</v>
      </c>
      <c r="B166" s="3" t="s">
        <v>108</v>
      </c>
    </row>
    <row r="167" spans="1:2" x14ac:dyDescent="0.25">
      <c r="A167" s="2" t="s">
        <v>6</v>
      </c>
      <c r="B167" s="2" t="s">
        <v>109</v>
      </c>
    </row>
    <row r="168" spans="1:2" x14ac:dyDescent="0.25">
      <c r="A168" s="1" t="s">
        <v>8</v>
      </c>
      <c r="B168" s="1"/>
    </row>
    <row r="169" spans="1:2" x14ac:dyDescent="0.25">
      <c r="A169" s="3" t="s">
        <v>2</v>
      </c>
      <c r="B169" s="3" t="s">
        <v>56</v>
      </c>
    </row>
    <row r="170" spans="1:2" x14ac:dyDescent="0.25">
      <c r="A170" s="3" t="s">
        <v>4</v>
      </c>
      <c r="B170" s="3" t="s">
        <v>110</v>
      </c>
    </row>
    <row r="171" spans="1:2" x14ac:dyDescent="0.25">
      <c r="A171" s="2" t="s">
        <v>11</v>
      </c>
      <c r="B171" s="2" t="s">
        <v>111</v>
      </c>
    </row>
    <row r="172" spans="1:2" x14ac:dyDescent="0.25">
      <c r="A172" s="2" t="s">
        <v>13</v>
      </c>
      <c r="B172" s="2" t="s">
        <v>112</v>
      </c>
    </row>
    <row r="173" spans="1:2" x14ac:dyDescent="0.25">
      <c r="A173" s="1" t="s">
        <v>31</v>
      </c>
      <c r="B173" s="1"/>
    </row>
    <row r="174" spans="1:2" x14ac:dyDescent="0.25">
      <c r="A174" s="3" t="s">
        <v>113</v>
      </c>
      <c r="B174" s="3" t="s">
        <v>10</v>
      </c>
    </row>
    <row r="175" spans="1:2" x14ac:dyDescent="0.25">
      <c r="A175" s="2" t="s">
        <v>34</v>
      </c>
      <c r="B175" s="2" t="s">
        <v>114</v>
      </c>
    </row>
    <row r="176" spans="1:2" x14ac:dyDescent="0.25">
      <c r="A176" s="2" t="s">
        <v>36</v>
      </c>
      <c r="B176" s="2" t="s">
        <v>115</v>
      </c>
    </row>
    <row r="177" spans="1:2" ht="15.2" customHeight="1" x14ac:dyDescent="0.25">
      <c r="A177" s="5" t="s">
        <v>116</v>
      </c>
      <c r="B177" s="6"/>
    </row>
    <row r="178" spans="1:2" x14ac:dyDescent="0.25">
      <c r="A178" s="1" t="s">
        <v>1</v>
      </c>
      <c r="B178" s="1"/>
    </row>
    <row r="179" spans="1:2" x14ac:dyDescent="0.25">
      <c r="A179" s="3" t="s">
        <v>2</v>
      </c>
      <c r="B179" s="3" t="s">
        <v>58</v>
      </c>
    </row>
    <row r="180" spans="1:2" x14ac:dyDescent="0.25">
      <c r="A180" s="3" t="s">
        <v>4</v>
      </c>
      <c r="B180" s="3" t="s">
        <v>107</v>
      </c>
    </row>
    <row r="181" spans="1:2" x14ac:dyDescent="0.25">
      <c r="A181" s="2" t="s">
        <v>6</v>
      </c>
      <c r="B181" s="2" t="s">
        <v>117</v>
      </c>
    </row>
    <row r="182" spans="1:2" x14ac:dyDescent="0.25">
      <c r="A182" s="1" t="s">
        <v>8</v>
      </c>
      <c r="B182" s="1"/>
    </row>
    <row r="183" spans="1:2" x14ac:dyDescent="0.25">
      <c r="A183" s="3" t="s">
        <v>2</v>
      </c>
      <c r="B183" s="3" t="s">
        <v>118</v>
      </c>
    </row>
    <row r="184" spans="1:2" x14ac:dyDescent="0.25">
      <c r="A184" s="3" t="s">
        <v>4</v>
      </c>
      <c r="B184" s="3" t="s">
        <v>10</v>
      </c>
    </row>
    <row r="185" spans="1:2" x14ac:dyDescent="0.25">
      <c r="A185" s="2" t="s">
        <v>11</v>
      </c>
      <c r="B185" s="2" t="s">
        <v>119</v>
      </c>
    </row>
    <row r="186" spans="1:2" x14ac:dyDescent="0.25">
      <c r="A186" s="2" t="s">
        <v>13</v>
      </c>
      <c r="B186" s="2" t="s">
        <v>120</v>
      </c>
    </row>
    <row r="187" spans="1:2" x14ac:dyDescent="0.25">
      <c r="A187" s="1" t="s">
        <v>31</v>
      </c>
      <c r="B187" s="1"/>
    </row>
    <row r="188" spans="1:2" x14ac:dyDescent="0.25">
      <c r="A188" s="3" t="s">
        <v>113</v>
      </c>
      <c r="B188" s="3" t="s">
        <v>10</v>
      </c>
    </row>
    <row r="189" spans="1:2" x14ac:dyDescent="0.25">
      <c r="A189" s="2" t="s">
        <v>34</v>
      </c>
      <c r="B189" s="2" t="s">
        <v>114</v>
      </c>
    </row>
    <row r="190" spans="1:2" x14ac:dyDescent="0.25">
      <c r="A190" s="2" t="s">
        <v>36</v>
      </c>
      <c r="B190" s="2" t="s">
        <v>121</v>
      </c>
    </row>
    <row r="191" spans="1:2" ht="15.2" customHeight="1" x14ac:dyDescent="0.25">
      <c r="A191" s="5" t="s">
        <v>122</v>
      </c>
      <c r="B191" s="6"/>
    </row>
    <row r="192" spans="1:2" x14ac:dyDescent="0.25">
      <c r="A192" s="1" t="s">
        <v>1</v>
      </c>
      <c r="B192" s="1"/>
    </row>
    <row r="193" spans="1:2" x14ac:dyDescent="0.25">
      <c r="A193" s="3" t="s">
        <v>2</v>
      </c>
      <c r="B193" s="3" t="s">
        <v>123</v>
      </c>
    </row>
    <row r="194" spans="1:2" x14ac:dyDescent="0.25">
      <c r="A194" s="3" t="s">
        <v>4</v>
      </c>
      <c r="B194" s="3" t="s">
        <v>124</v>
      </c>
    </row>
    <row r="195" spans="1:2" x14ac:dyDescent="0.25">
      <c r="A195" s="2" t="s">
        <v>6</v>
      </c>
      <c r="B195" s="2" t="s">
        <v>125</v>
      </c>
    </row>
    <row r="196" spans="1:2" x14ac:dyDescent="0.25">
      <c r="A196" s="1" t="s">
        <v>8</v>
      </c>
      <c r="B196" s="1"/>
    </row>
    <row r="197" spans="1:2" x14ac:dyDescent="0.25">
      <c r="A197" s="3" t="s">
        <v>2</v>
      </c>
      <c r="B197" s="3" t="s">
        <v>118</v>
      </c>
    </row>
    <row r="198" spans="1:2" x14ac:dyDescent="0.25">
      <c r="A198" s="3" t="s">
        <v>4</v>
      </c>
      <c r="B198" s="3" t="s">
        <v>19</v>
      </c>
    </row>
    <row r="199" spans="1:2" x14ac:dyDescent="0.25">
      <c r="A199" s="2" t="s">
        <v>11</v>
      </c>
      <c r="B199" s="2" t="s">
        <v>126</v>
      </c>
    </row>
    <row r="200" spans="1:2" x14ac:dyDescent="0.25">
      <c r="A200" s="2" t="s">
        <v>13</v>
      </c>
      <c r="B200" s="2" t="s">
        <v>127</v>
      </c>
    </row>
    <row r="201" spans="1:2" x14ac:dyDescent="0.25">
      <c r="A201" s="1" t="s">
        <v>31</v>
      </c>
      <c r="B201" s="1"/>
    </row>
    <row r="202" spans="1:2" x14ac:dyDescent="0.25">
      <c r="A202" s="3" t="s">
        <v>113</v>
      </c>
      <c r="B202" s="3" t="s">
        <v>10</v>
      </c>
    </row>
    <row r="203" spans="1:2" x14ac:dyDescent="0.25">
      <c r="A203" s="2" t="s">
        <v>34</v>
      </c>
      <c r="B203" s="2" t="s">
        <v>114</v>
      </c>
    </row>
    <row r="204" spans="1:2" x14ac:dyDescent="0.25">
      <c r="A204" s="2" t="s">
        <v>36</v>
      </c>
      <c r="B204" s="2" t="s">
        <v>128</v>
      </c>
    </row>
    <row r="205" spans="1:2" ht="15.2" customHeight="1" x14ac:dyDescent="0.25">
      <c r="A205" s="5" t="s">
        <v>129</v>
      </c>
      <c r="B205" s="6"/>
    </row>
    <row r="206" spans="1:2" x14ac:dyDescent="0.25">
      <c r="A206" s="1" t="s">
        <v>1</v>
      </c>
      <c r="B206" s="1"/>
    </row>
    <row r="207" spans="1:2" x14ac:dyDescent="0.25">
      <c r="A207" s="3" t="s">
        <v>2</v>
      </c>
      <c r="B207" s="3" t="s">
        <v>130</v>
      </c>
    </row>
    <row r="208" spans="1:2" x14ac:dyDescent="0.25">
      <c r="A208" s="3" t="s">
        <v>4</v>
      </c>
      <c r="B208" s="3" t="s">
        <v>131</v>
      </c>
    </row>
    <row r="209" spans="1:2" x14ac:dyDescent="0.25">
      <c r="A209" s="2" t="s">
        <v>6</v>
      </c>
      <c r="B209" s="2" t="s">
        <v>132</v>
      </c>
    </row>
    <row r="210" spans="1:2" x14ac:dyDescent="0.25">
      <c r="A210" s="1" t="s">
        <v>8</v>
      </c>
      <c r="B210" s="1"/>
    </row>
    <row r="211" spans="1:2" x14ac:dyDescent="0.25">
      <c r="A211" s="3" t="s">
        <v>2</v>
      </c>
      <c r="B211" s="3" t="s">
        <v>54</v>
      </c>
    </row>
    <row r="212" spans="1:2" x14ac:dyDescent="0.25">
      <c r="A212" s="3" t="s">
        <v>4</v>
      </c>
      <c r="B212" s="3" t="s">
        <v>10</v>
      </c>
    </row>
    <row r="213" spans="1:2" x14ac:dyDescent="0.25">
      <c r="A213" s="2" t="s">
        <v>11</v>
      </c>
      <c r="B213" s="2" t="s">
        <v>133</v>
      </c>
    </row>
    <row r="214" spans="1:2" x14ac:dyDescent="0.25">
      <c r="A214" s="2" t="s">
        <v>13</v>
      </c>
      <c r="B214" s="2" t="s">
        <v>134</v>
      </c>
    </row>
    <row r="215" spans="1:2" x14ac:dyDescent="0.25">
      <c r="A215" s="1" t="s">
        <v>31</v>
      </c>
      <c r="B215" s="1"/>
    </row>
    <row r="216" spans="1:2" x14ac:dyDescent="0.25">
      <c r="A216" s="3" t="s">
        <v>113</v>
      </c>
      <c r="B216" s="3" t="s">
        <v>10</v>
      </c>
    </row>
    <row r="217" spans="1:2" x14ac:dyDescent="0.25">
      <c r="A217" s="2" t="s">
        <v>34</v>
      </c>
      <c r="B217" s="2" t="s">
        <v>114</v>
      </c>
    </row>
    <row r="218" spans="1:2" x14ac:dyDescent="0.25">
      <c r="A218" s="2" t="s">
        <v>36</v>
      </c>
      <c r="B218" s="2" t="s">
        <v>135</v>
      </c>
    </row>
    <row r="219" spans="1:2" ht="15.2" customHeight="1" x14ac:dyDescent="0.25">
      <c r="A219" s="5" t="s">
        <v>136</v>
      </c>
      <c r="B219" s="6"/>
    </row>
    <row r="220" spans="1:2" x14ac:dyDescent="0.25">
      <c r="A220" s="1" t="s">
        <v>1</v>
      </c>
      <c r="B220" s="1"/>
    </row>
    <row r="221" spans="1:2" x14ac:dyDescent="0.25">
      <c r="A221" s="3" t="s">
        <v>2</v>
      </c>
      <c r="B221" s="3" t="s">
        <v>97</v>
      </c>
    </row>
    <row r="222" spans="1:2" x14ac:dyDescent="0.25">
      <c r="A222" s="3" t="s">
        <v>4</v>
      </c>
      <c r="B222" s="3" t="s">
        <v>137</v>
      </c>
    </row>
    <row r="223" spans="1:2" x14ac:dyDescent="0.25">
      <c r="A223" s="2" t="s">
        <v>6</v>
      </c>
      <c r="B223" s="2" t="s">
        <v>138</v>
      </c>
    </row>
    <row r="224" spans="1:2" x14ac:dyDescent="0.25">
      <c r="A224" s="1" t="s">
        <v>8</v>
      </c>
      <c r="B224" s="1"/>
    </row>
    <row r="225" spans="1:2" x14ac:dyDescent="0.25">
      <c r="A225" s="3" t="s">
        <v>2</v>
      </c>
      <c r="B225" s="3" t="s">
        <v>139</v>
      </c>
    </row>
    <row r="226" spans="1:2" x14ac:dyDescent="0.25">
      <c r="A226" s="3" t="s">
        <v>4</v>
      </c>
      <c r="B226" s="3" t="s">
        <v>10</v>
      </c>
    </row>
    <row r="227" spans="1:2" x14ac:dyDescent="0.25">
      <c r="A227" s="2" t="s">
        <v>11</v>
      </c>
      <c r="B227" s="2" t="s">
        <v>140</v>
      </c>
    </row>
    <row r="228" spans="1:2" x14ac:dyDescent="0.25">
      <c r="A228" s="2" t="s">
        <v>13</v>
      </c>
      <c r="B228" s="2" t="s">
        <v>141</v>
      </c>
    </row>
    <row r="229" spans="1:2" x14ac:dyDescent="0.25">
      <c r="A229" s="1" t="s">
        <v>31</v>
      </c>
      <c r="B229" s="1"/>
    </row>
    <row r="230" spans="1:2" x14ac:dyDescent="0.25">
      <c r="A230" s="3" t="s">
        <v>113</v>
      </c>
      <c r="B230" s="3" t="s">
        <v>10</v>
      </c>
    </row>
    <row r="231" spans="1:2" x14ac:dyDescent="0.25">
      <c r="A231" s="3" t="s">
        <v>142</v>
      </c>
      <c r="B231" s="3" t="s">
        <v>143</v>
      </c>
    </row>
    <row r="232" spans="1:2" x14ac:dyDescent="0.25">
      <c r="A232" s="2" t="s">
        <v>34</v>
      </c>
      <c r="B232" s="2" t="s">
        <v>144</v>
      </c>
    </row>
    <row r="233" spans="1:2" x14ac:dyDescent="0.25">
      <c r="A233" s="2" t="s">
        <v>36</v>
      </c>
      <c r="B233" s="2" t="s">
        <v>145</v>
      </c>
    </row>
    <row r="234" spans="1:2" ht="15.2" customHeight="1" x14ac:dyDescent="0.25">
      <c r="A234" s="5" t="s">
        <v>146</v>
      </c>
      <c r="B234" s="6"/>
    </row>
    <row r="235" spans="1:2" x14ac:dyDescent="0.25">
      <c r="A235" s="1" t="s">
        <v>1</v>
      </c>
      <c r="B235" s="1"/>
    </row>
    <row r="236" spans="1:2" x14ac:dyDescent="0.25">
      <c r="A236" s="3" t="s">
        <v>2</v>
      </c>
      <c r="B236" s="3" t="s">
        <v>147</v>
      </c>
    </row>
    <row r="237" spans="1:2" x14ac:dyDescent="0.25">
      <c r="A237" s="3" t="s">
        <v>4</v>
      </c>
      <c r="B237" s="3" t="s">
        <v>110</v>
      </c>
    </row>
    <row r="238" spans="1:2" x14ac:dyDescent="0.25">
      <c r="A238" s="2" t="s">
        <v>6</v>
      </c>
      <c r="B238" s="2" t="s">
        <v>148</v>
      </c>
    </row>
    <row r="239" spans="1:2" x14ac:dyDescent="0.25">
      <c r="A239" s="1" t="s">
        <v>8</v>
      </c>
      <c r="B239" s="1"/>
    </row>
    <row r="240" spans="1:2" x14ac:dyDescent="0.25">
      <c r="A240" s="3" t="s">
        <v>2</v>
      </c>
      <c r="B240" s="3" t="s">
        <v>139</v>
      </c>
    </row>
    <row r="241" spans="1:2" x14ac:dyDescent="0.25">
      <c r="A241" s="3" t="s">
        <v>4</v>
      </c>
      <c r="B241" s="3" t="s">
        <v>149</v>
      </c>
    </row>
    <row r="242" spans="1:2" x14ac:dyDescent="0.25">
      <c r="A242" s="2" t="s">
        <v>11</v>
      </c>
      <c r="B242" s="2" t="s">
        <v>150</v>
      </c>
    </row>
    <row r="243" spans="1:2" x14ac:dyDescent="0.25">
      <c r="A243" s="2" t="s">
        <v>13</v>
      </c>
      <c r="B243" s="2" t="s">
        <v>151</v>
      </c>
    </row>
    <row r="244" spans="1:2" x14ac:dyDescent="0.25">
      <c r="A244" s="1" t="s">
        <v>31</v>
      </c>
      <c r="B244" s="1"/>
    </row>
    <row r="245" spans="1:2" x14ac:dyDescent="0.25">
      <c r="A245" s="3" t="s">
        <v>113</v>
      </c>
      <c r="B245" s="3" t="s">
        <v>10</v>
      </c>
    </row>
    <row r="246" spans="1:2" x14ac:dyDescent="0.25">
      <c r="A246" s="2" t="s">
        <v>34</v>
      </c>
      <c r="B246" s="2" t="s">
        <v>114</v>
      </c>
    </row>
    <row r="247" spans="1:2" x14ac:dyDescent="0.25">
      <c r="A247" s="2" t="s">
        <v>36</v>
      </c>
      <c r="B247" s="2" t="s">
        <v>152</v>
      </c>
    </row>
    <row r="248" spans="1:2" ht="15.2" customHeight="1" x14ac:dyDescent="0.25">
      <c r="A248" s="5" t="s">
        <v>153</v>
      </c>
      <c r="B248" s="6"/>
    </row>
    <row r="249" spans="1:2" x14ac:dyDescent="0.25">
      <c r="A249" s="1" t="s">
        <v>1</v>
      </c>
      <c r="B249" s="1"/>
    </row>
    <row r="250" spans="1:2" x14ac:dyDescent="0.25">
      <c r="A250" s="3" t="s">
        <v>2</v>
      </c>
      <c r="B250" s="3" t="s">
        <v>154</v>
      </c>
    </row>
    <row r="251" spans="1:2" x14ac:dyDescent="0.25">
      <c r="A251" s="3" t="s">
        <v>4</v>
      </c>
      <c r="B251" s="3" t="s">
        <v>155</v>
      </c>
    </row>
    <row r="252" spans="1:2" x14ac:dyDescent="0.25">
      <c r="A252" s="2" t="s">
        <v>6</v>
      </c>
      <c r="B252" s="2" t="s">
        <v>156</v>
      </c>
    </row>
    <row r="253" spans="1:2" x14ac:dyDescent="0.25">
      <c r="A253" s="1" t="s">
        <v>8</v>
      </c>
      <c r="B253" s="1"/>
    </row>
    <row r="254" spans="1:2" x14ac:dyDescent="0.25">
      <c r="A254" s="3" t="s">
        <v>2</v>
      </c>
      <c r="B254" s="3" t="s">
        <v>157</v>
      </c>
    </row>
    <row r="255" spans="1:2" x14ac:dyDescent="0.25">
      <c r="A255" s="3" t="s">
        <v>4</v>
      </c>
      <c r="B255" s="3" t="s">
        <v>158</v>
      </c>
    </row>
    <row r="256" spans="1:2" x14ac:dyDescent="0.25">
      <c r="A256" s="2" t="s">
        <v>11</v>
      </c>
      <c r="B256" s="2" t="s">
        <v>159</v>
      </c>
    </row>
    <row r="257" spans="1:2" x14ac:dyDescent="0.25">
      <c r="A257" s="2" t="s">
        <v>13</v>
      </c>
      <c r="B257" s="2" t="s">
        <v>160</v>
      </c>
    </row>
    <row r="258" spans="1:2" x14ac:dyDescent="0.25">
      <c r="A258" s="1" t="s">
        <v>31</v>
      </c>
      <c r="B258" s="1"/>
    </row>
    <row r="259" spans="1:2" x14ac:dyDescent="0.25">
      <c r="A259" s="3" t="s">
        <v>113</v>
      </c>
      <c r="B259" s="3" t="s">
        <v>10</v>
      </c>
    </row>
    <row r="260" spans="1:2" x14ac:dyDescent="0.25">
      <c r="A260" s="2" t="s">
        <v>34</v>
      </c>
      <c r="B260" s="2" t="s">
        <v>114</v>
      </c>
    </row>
    <row r="261" spans="1:2" x14ac:dyDescent="0.25">
      <c r="A261" s="2" t="s">
        <v>36</v>
      </c>
      <c r="B261" s="2" t="s">
        <v>41</v>
      </c>
    </row>
    <row r="262" spans="1:2" ht="15.2" customHeight="1" x14ac:dyDescent="0.25">
      <c r="A262" s="5" t="s">
        <v>161</v>
      </c>
      <c r="B262" s="6"/>
    </row>
    <row r="263" spans="1:2" x14ac:dyDescent="0.25">
      <c r="A263" s="1" t="s">
        <v>1</v>
      </c>
      <c r="B263" s="1"/>
    </row>
    <row r="264" spans="1:2" x14ac:dyDescent="0.25">
      <c r="A264" s="3" t="s">
        <v>2</v>
      </c>
      <c r="B264" s="3" t="s">
        <v>162</v>
      </c>
    </row>
    <row r="265" spans="1:2" x14ac:dyDescent="0.25">
      <c r="A265" s="3" t="s">
        <v>4</v>
      </c>
      <c r="B265" s="3" t="s">
        <v>96</v>
      </c>
    </row>
    <row r="266" spans="1:2" x14ac:dyDescent="0.25">
      <c r="A266" s="2" t="s">
        <v>6</v>
      </c>
      <c r="B266" s="2" t="s">
        <v>163</v>
      </c>
    </row>
    <row r="267" spans="1:2" x14ac:dyDescent="0.25">
      <c r="A267" s="1" t="s">
        <v>8</v>
      </c>
      <c r="B267" s="1"/>
    </row>
    <row r="268" spans="1:2" x14ac:dyDescent="0.25">
      <c r="A268" s="3" t="s">
        <v>2</v>
      </c>
      <c r="B268" s="3" t="s">
        <v>139</v>
      </c>
    </row>
    <row r="269" spans="1:2" x14ac:dyDescent="0.25">
      <c r="A269" s="3" t="s">
        <v>4</v>
      </c>
      <c r="B269" s="3" t="s">
        <v>10</v>
      </c>
    </row>
    <row r="270" spans="1:2" x14ac:dyDescent="0.25">
      <c r="A270" s="2" t="s">
        <v>11</v>
      </c>
      <c r="B270" s="2" t="s">
        <v>140</v>
      </c>
    </row>
    <row r="271" spans="1:2" x14ac:dyDescent="0.25">
      <c r="A271" s="2" t="s">
        <v>13</v>
      </c>
      <c r="B271" s="2" t="s">
        <v>164</v>
      </c>
    </row>
    <row r="272" spans="1:2" x14ac:dyDescent="0.25">
      <c r="A272" s="1" t="s">
        <v>31</v>
      </c>
      <c r="B272" s="1"/>
    </row>
    <row r="273" spans="1:2" x14ac:dyDescent="0.25">
      <c r="A273" s="3" t="s">
        <v>113</v>
      </c>
      <c r="B273" s="3" t="s">
        <v>10</v>
      </c>
    </row>
    <row r="274" spans="1:2" x14ac:dyDescent="0.25">
      <c r="A274" s="3" t="s">
        <v>165</v>
      </c>
      <c r="B274" s="3" t="s">
        <v>166</v>
      </c>
    </row>
    <row r="275" spans="1:2" x14ac:dyDescent="0.25">
      <c r="A275" s="3" t="s">
        <v>167</v>
      </c>
      <c r="B275" s="3" t="s">
        <v>168</v>
      </c>
    </row>
    <row r="276" spans="1:2" x14ac:dyDescent="0.25">
      <c r="A276" s="2" t="s">
        <v>34</v>
      </c>
      <c r="B276" s="2" t="s">
        <v>169</v>
      </c>
    </row>
    <row r="277" spans="1:2" x14ac:dyDescent="0.25">
      <c r="A277" s="2" t="s">
        <v>36</v>
      </c>
      <c r="B277" s="2" t="s">
        <v>170</v>
      </c>
    </row>
    <row r="278" spans="1:2" ht="15.2" customHeight="1" x14ac:dyDescent="0.25">
      <c r="A278" s="5" t="s">
        <v>171</v>
      </c>
      <c r="B278" s="6"/>
    </row>
    <row r="279" spans="1:2" x14ac:dyDescent="0.25">
      <c r="A279" s="1" t="s">
        <v>1</v>
      </c>
      <c r="B279" s="1"/>
    </row>
    <row r="280" spans="1:2" x14ac:dyDescent="0.25">
      <c r="A280" s="3" t="s">
        <v>2</v>
      </c>
      <c r="B280" s="3" t="s">
        <v>97</v>
      </c>
    </row>
    <row r="281" spans="1:2" x14ac:dyDescent="0.25">
      <c r="A281" s="3" t="s">
        <v>4</v>
      </c>
      <c r="B281" s="3" t="s">
        <v>172</v>
      </c>
    </row>
    <row r="282" spans="1:2" x14ac:dyDescent="0.25">
      <c r="A282" s="2" t="s">
        <v>6</v>
      </c>
      <c r="B282" s="2" t="s">
        <v>173</v>
      </c>
    </row>
    <row r="283" spans="1:2" x14ac:dyDescent="0.25">
      <c r="A283" s="1" t="s">
        <v>8</v>
      </c>
      <c r="B283" s="1"/>
    </row>
    <row r="284" spans="1:2" x14ac:dyDescent="0.25">
      <c r="A284" s="3" t="s">
        <v>2</v>
      </c>
      <c r="B284" s="3" t="s">
        <v>139</v>
      </c>
    </row>
    <row r="285" spans="1:2" x14ac:dyDescent="0.25">
      <c r="A285" s="3" t="s">
        <v>4</v>
      </c>
      <c r="B285" s="3" t="s">
        <v>10</v>
      </c>
    </row>
    <row r="286" spans="1:2" x14ac:dyDescent="0.25">
      <c r="A286" s="2" t="s">
        <v>11</v>
      </c>
      <c r="B286" s="2" t="s">
        <v>140</v>
      </c>
    </row>
    <row r="287" spans="1:2" x14ac:dyDescent="0.25">
      <c r="A287" s="2" t="s">
        <v>13</v>
      </c>
      <c r="B287" s="2" t="s">
        <v>174</v>
      </c>
    </row>
    <row r="288" spans="1:2" x14ac:dyDescent="0.25">
      <c r="A288" s="1" t="s">
        <v>31</v>
      </c>
      <c r="B288" s="1"/>
    </row>
    <row r="289" spans="1:4" x14ac:dyDescent="0.25">
      <c r="A289" s="3" t="s">
        <v>113</v>
      </c>
      <c r="B289" s="3" t="s">
        <v>10</v>
      </c>
    </row>
    <row r="290" spans="1:4" x14ac:dyDescent="0.25">
      <c r="A290" s="3" t="s">
        <v>175</v>
      </c>
      <c r="B290" s="3" t="s">
        <v>176</v>
      </c>
    </row>
    <row r="291" spans="1:4" x14ac:dyDescent="0.25">
      <c r="A291" s="2" t="s">
        <v>34</v>
      </c>
      <c r="B291" s="2" t="s">
        <v>177</v>
      </c>
    </row>
    <row r="292" spans="1:4" x14ac:dyDescent="0.25">
      <c r="A292" s="2" t="s">
        <v>36</v>
      </c>
      <c r="B292" s="2" t="s">
        <v>178</v>
      </c>
    </row>
    <row r="293" spans="1:4" x14ac:dyDescent="0.25">
      <c r="A293" s="4" t="s">
        <v>179</v>
      </c>
      <c r="B293" s="4" t="s">
        <v>180</v>
      </c>
      <c r="C293" s="8"/>
      <c r="D293">
        <v>0</v>
      </c>
    </row>
  </sheetData>
  <mergeCells count="22">
    <mergeCell ref="A262:B262"/>
    <mergeCell ref="A278:B278"/>
    <mergeCell ref="A191:B191"/>
    <mergeCell ref="A205:B205"/>
    <mergeCell ref="A219:B219"/>
    <mergeCell ref="A234:B234"/>
    <mergeCell ref="A248:B248"/>
    <mergeCell ref="A120:B120"/>
    <mergeCell ref="A134:B134"/>
    <mergeCell ref="A148:B148"/>
    <mergeCell ref="A163:B163"/>
    <mergeCell ref="A177:B177"/>
    <mergeCell ref="A55:B55"/>
    <mergeCell ref="A65:B65"/>
    <mergeCell ref="A79:B79"/>
    <mergeCell ref="A96:B96"/>
    <mergeCell ref="A110:B110"/>
    <mergeCell ref="A1:B1"/>
    <mergeCell ref="A11:B11"/>
    <mergeCell ref="A21:B21"/>
    <mergeCell ref="A31:B31"/>
    <mergeCell ref="A45:B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2DF2-CB7C-4C38-9EC0-F62DB9831EE3}">
  <dimension ref="A1:D291"/>
  <sheetViews>
    <sheetView tabSelected="1" workbookViewId="0">
      <selection activeCell="F4" sqref="F4"/>
    </sheetView>
  </sheetViews>
  <sheetFormatPr defaultRowHeight="15" x14ac:dyDescent="0.25"/>
  <cols>
    <col min="1" max="1" width="44.28515625" bestFit="1" customWidth="1"/>
    <col min="3" max="3" width="13.7109375" bestFit="1" customWidth="1"/>
  </cols>
  <sheetData>
    <row r="1" spans="1:4" x14ac:dyDescent="0.25">
      <c r="A1" s="8" t="s">
        <v>1</v>
      </c>
      <c r="B1">
        <v>0</v>
      </c>
      <c r="C1" t="s">
        <v>13</v>
      </c>
      <c r="D1">
        <f>SUMIF($A$1:$A$291,"Gross Profit",$B$1:$B$291)</f>
        <v>28037</v>
      </c>
    </row>
    <row r="2" spans="1:4" x14ac:dyDescent="0.25">
      <c r="A2" s="8" t="s">
        <v>2</v>
      </c>
      <c r="B2">
        <v>1250</v>
      </c>
      <c r="C2" t="s">
        <v>181</v>
      </c>
      <c r="D2">
        <f>SUMIF($A$1:$A$291,"Total Expenses",$B$1:$B$291)</f>
        <v>-29415</v>
      </c>
    </row>
    <row r="3" spans="1:4" x14ac:dyDescent="0.25">
      <c r="A3" s="8" t="s">
        <v>4</v>
      </c>
      <c r="B3">
        <v>1600</v>
      </c>
      <c r="C3" t="s">
        <v>66</v>
      </c>
      <c r="D3">
        <f>SUMIF($A$1:$A$291,"Total Incomes",$B$1:$B$291)</f>
        <v>320</v>
      </c>
    </row>
    <row r="4" spans="1:4" x14ac:dyDescent="0.25">
      <c r="A4" s="8" t="s">
        <v>6</v>
      </c>
      <c r="B4">
        <v>2850</v>
      </c>
      <c r="C4" t="s">
        <v>179</v>
      </c>
      <c r="D4">
        <f>SUM(D1:D3)</f>
        <v>-1058</v>
      </c>
    </row>
    <row r="5" spans="1:4" x14ac:dyDescent="0.25">
      <c r="A5" s="8" t="s">
        <v>8</v>
      </c>
      <c r="B5">
        <v>0</v>
      </c>
    </row>
    <row r="6" spans="1:4" x14ac:dyDescent="0.25">
      <c r="A6" s="8" t="s">
        <v>2</v>
      </c>
      <c r="B6">
        <v>955</v>
      </c>
    </row>
    <row r="7" spans="1:4" x14ac:dyDescent="0.25">
      <c r="A7" s="8" t="s">
        <v>4</v>
      </c>
      <c r="B7">
        <v>800</v>
      </c>
    </row>
    <row r="8" spans="1:4" x14ac:dyDescent="0.25">
      <c r="A8" s="8" t="s">
        <v>11</v>
      </c>
      <c r="B8">
        <v>-1755</v>
      </c>
    </row>
    <row r="9" spans="1:4" x14ac:dyDescent="0.25">
      <c r="A9" s="8" t="s">
        <v>13</v>
      </c>
      <c r="B9">
        <v>1095</v>
      </c>
    </row>
    <row r="10" spans="1:4" x14ac:dyDescent="0.25">
      <c r="A10" s="8" t="s">
        <v>15</v>
      </c>
      <c r="B10">
        <v>0</v>
      </c>
    </row>
    <row r="11" spans="1:4" x14ac:dyDescent="0.25">
      <c r="A11" s="8" t="s">
        <v>1</v>
      </c>
      <c r="B11">
        <v>0</v>
      </c>
    </row>
    <row r="12" spans="1:4" x14ac:dyDescent="0.25">
      <c r="A12" s="8" t="s">
        <v>2</v>
      </c>
      <c r="B12">
        <v>635</v>
      </c>
    </row>
    <row r="13" spans="1:4" x14ac:dyDescent="0.25">
      <c r="A13" s="8" t="s">
        <v>4</v>
      </c>
      <c r="B13">
        <v>1600</v>
      </c>
    </row>
    <row r="14" spans="1:4" x14ac:dyDescent="0.25">
      <c r="A14" s="8" t="s">
        <v>6</v>
      </c>
      <c r="B14">
        <v>2235</v>
      </c>
    </row>
    <row r="15" spans="1:4" x14ac:dyDescent="0.25">
      <c r="A15" s="8" t="s">
        <v>8</v>
      </c>
      <c r="B15">
        <v>0</v>
      </c>
    </row>
    <row r="16" spans="1:4" x14ac:dyDescent="0.25">
      <c r="A16" s="8" t="s">
        <v>2</v>
      </c>
      <c r="B16">
        <v>925</v>
      </c>
    </row>
    <row r="17" spans="1:2" x14ac:dyDescent="0.25">
      <c r="A17" s="8" t="s">
        <v>4</v>
      </c>
      <c r="B17">
        <v>600</v>
      </c>
    </row>
    <row r="18" spans="1:2" x14ac:dyDescent="0.25">
      <c r="A18" s="8" t="s">
        <v>11</v>
      </c>
      <c r="B18">
        <v>-1525</v>
      </c>
    </row>
    <row r="19" spans="1:2" x14ac:dyDescent="0.25">
      <c r="A19" s="8" t="s">
        <v>13</v>
      </c>
      <c r="B19">
        <v>710</v>
      </c>
    </row>
    <row r="20" spans="1:2" x14ac:dyDescent="0.25">
      <c r="A20" s="8" t="s">
        <v>22</v>
      </c>
      <c r="B20">
        <v>0</v>
      </c>
    </row>
    <row r="21" spans="1:2" x14ac:dyDescent="0.25">
      <c r="A21" s="8" t="s">
        <v>1</v>
      </c>
      <c r="B21">
        <v>0</v>
      </c>
    </row>
    <row r="22" spans="1:2" x14ac:dyDescent="0.25">
      <c r="A22" s="8" t="s">
        <v>2</v>
      </c>
      <c r="B22">
        <v>1065</v>
      </c>
    </row>
    <row r="23" spans="1:2" x14ac:dyDescent="0.25">
      <c r="A23" s="8" t="s">
        <v>4</v>
      </c>
      <c r="B23">
        <v>1600</v>
      </c>
    </row>
    <row r="24" spans="1:2" x14ac:dyDescent="0.25">
      <c r="A24" s="8" t="s">
        <v>6</v>
      </c>
      <c r="B24">
        <v>2665</v>
      </c>
    </row>
    <row r="25" spans="1:2" x14ac:dyDescent="0.25">
      <c r="A25" s="8" t="s">
        <v>8</v>
      </c>
      <c r="B25">
        <v>0</v>
      </c>
    </row>
    <row r="26" spans="1:2" x14ac:dyDescent="0.25">
      <c r="A26" s="8" t="s">
        <v>2</v>
      </c>
      <c r="B26">
        <v>925</v>
      </c>
    </row>
    <row r="27" spans="1:2" x14ac:dyDescent="0.25">
      <c r="A27" s="8" t="s">
        <v>4</v>
      </c>
      <c r="B27">
        <v>800</v>
      </c>
    </row>
    <row r="28" spans="1:2" x14ac:dyDescent="0.25">
      <c r="A28" s="8" t="s">
        <v>11</v>
      </c>
      <c r="B28">
        <v>-1725</v>
      </c>
    </row>
    <row r="29" spans="1:2" x14ac:dyDescent="0.25">
      <c r="A29" s="8" t="s">
        <v>13</v>
      </c>
      <c r="B29">
        <v>940</v>
      </c>
    </row>
    <row r="30" spans="1:2" x14ac:dyDescent="0.25">
      <c r="A30" s="8" t="s">
        <v>27</v>
      </c>
      <c r="B30">
        <v>0</v>
      </c>
    </row>
    <row r="31" spans="1:2" x14ac:dyDescent="0.25">
      <c r="A31" s="8" t="s">
        <v>1</v>
      </c>
      <c r="B31">
        <v>0</v>
      </c>
    </row>
    <row r="32" spans="1:2" x14ac:dyDescent="0.25">
      <c r="A32" s="8" t="s">
        <v>2</v>
      </c>
      <c r="B32">
        <v>2060</v>
      </c>
    </row>
    <row r="33" spans="1:2" x14ac:dyDescent="0.25">
      <c r="A33" s="8" t="s">
        <v>4</v>
      </c>
      <c r="B33">
        <v>1600</v>
      </c>
    </row>
    <row r="34" spans="1:2" x14ac:dyDescent="0.25">
      <c r="A34" s="8" t="s">
        <v>6</v>
      </c>
      <c r="B34">
        <v>3660</v>
      </c>
    </row>
    <row r="35" spans="1:2" x14ac:dyDescent="0.25">
      <c r="A35" s="8" t="s">
        <v>8</v>
      </c>
      <c r="B35">
        <v>0</v>
      </c>
    </row>
    <row r="36" spans="1:2" x14ac:dyDescent="0.25">
      <c r="A36" s="8" t="s">
        <v>2</v>
      </c>
      <c r="B36">
        <v>925</v>
      </c>
    </row>
    <row r="37" spans="1:2" x14ac:dyDescent="0.25">
      <c r="A37" s="8" t="s">
        <v>4</v>
      </c>
      <c r="B37">
        <v>800</v>
      </c>
    </row>
    <row r="38" spans="1:2" x14ac:dyDescent="0.25">
      <c r="A38" s="8" t="s">
        <v>11</v>
      </c>
      <c r="B38">
        <v>-1725</v>
      </c>
    </row>
    <row r="39" spans="1:2" x14ac:dyDescent="0.25">
      <c r="A39" s="8" t="s">
        <v>13</v>
      </c>
      <c r="B39">
        <v>1935</v>
      </c>
    </row>
    <row r="40" spans="1:2" x14ac:dyDescent="0.25">
      <c r="A40" s="8" t="s">
        <v>31</v>
      </c>
      <c r="B40">
        <v>0</v>
      </c>
    </row>
    <row r="41" spans="1:2" x14ac:dyDescent="0.25">
      <c r="A41" s="8" t="s">
        <v>32</v>
      </c>
      <c r="B41">
        <v>820</v>
      </c>
    </row>
    <row r="42" spans="1:2" x14ac:dyDescent="0.25">
      <c r="A42" s="8" t="s">
        <v>34</v>
      </c>
      <c r="B42">
        <v>-820</v>
      </c>
    </row>
    <row r="43" spans="1:2" x14ac:dyDescent="0.25">
      <c r="A43" s="8" t="s">
        <v>36</v>
      </c>
      <c r="B43">
        <v>1115</v>
      </c>
    </row>
    <row r="44" spans="1:2" x14ac:dyDescent="0.25">
      <c r="A44" s="8" t="s">
        <v>38</v>
      </c>
      <c r="B44">
        <v>0</v>
      </c>
    </row>
    <row r="45" spans="1:2" x14ac:dyDescent="0.25">
      <c r="A45" s="8" t="s">
        <v>1</v>
      </c>
      <c r="B45">
        <v>0</v>
      </c>
    </row>
    <row r="46" spans="1:2" x14ac:dyDescent="0.25">
      <c r="A46" s="8" t="s">
        <v>2</v>
      </c>
      <c r="B46">
        <v>1380</v>
      </c>
    </row>
    <row r="47" spans="1:2" x14ac:dyDescent="0.25">
      <c r="A47" s="8" t="s">
        <v>4</v>
      </c>
      <c r="B47">
        <v>1600</v>
      </c>
    </row>
    <row r="48" spans="1:2" x14ac:dyDescent="0.25">
      <c r="A48" s="8" t="s">
        <v>6</v>
      </c>
      <c r="B48">
        <v>2980</v>
      </c>
    </row>
    <row r="49" spans="1:2" x14ac:dyDescent="0.25">
      <c r="A49" s="8" t="s">
        <v>8</v>
      </c>
      <c r="B49">
        <v>0</v>
      </c>
    </row>
    <row r="50" spans="1:2" x14ac:dyDescent="0.25">
      <c r="A50" s="8" t="s">
        <v>2</v>
      </c>
      <c r="B50">
        <v>1015</v>
      </c>
    </row>
    <row r="51" spans="1:2" x14ac:dyDescent="0.25">
      <c r="A51" s="8" t="s">
        <v>4</v>
      </c>
      <c r="B51">
        <v>800</v>
      </c>
    </row>
    <row r="52" spans="1:2" x14ac:dyDescent="0.25">
      <c r="A52" s="8" t="s">
        <v>11</v>
      </c>
      <c r="B52">
        <v>-1815</v>
      </c>
    </row>
    <row r="53" spans="1:2" x14ac:dyDescent="0.25">
      <c r="A53" s="8" t="s">
        <v>13</v>
      </c>
      <c r="B53">
        <v>1165</v>
      </c>
    </row>
    <row r="54" spans="1:2" x14ac:dyDescent="0.25">
      <c r="A54" s="8" t="s">
        <v>44</v>
      </c>
      <c r="B54">
        <v>0</v>
      </c>
    </row>
    <row r="55" spans="1:2" x14ac:dyDescent="0.25">
      <c r="A55" s="8" t="s">
        <v>1</v>
      </c>
      <c r="B55">
        <v>0</v>
      </c>
    </row>
    <row r="56" spans="1:2" x14ac:dyDescent="0.25">
      <c r="A56" s="8" t="s">
        <v>2</v>
      </c>
      <c r="B56">
        <v>1732</v>
      </c>
    </row>
    <row r="57" spans="1:2" x14ac:dyDescent="0.25">
      <c r="A57" s="8" t="s">
        <v>4</v>
      </c>
      <c r="B57">
        <v>1600</v>
      </c>
    </row>
    <row r="58" spans="1:2" x14ac:dyDescent="0.25">
      <c r="A58" s="8" t="s">
        <v>6</v>
      </c>
      <c r="B58">
        <v>3332</v>
      </c>
    </row>
    <row r="59" spans="1:2" x14ac:dyDescent="0.25">
      <c r="A59" s="8" t="s">
        <v>8</v>
      </c>
      <c r="B59">
        <v>0</v>
      </c>
    </row>
    <row r="60" spans="1:2" x14ac:dyDescent="0.25">
      <c r="A60" s="8" t="s">
        <v>2</v>
      </c>
      <c r="B60">
        <v>925</v>
      </c>
    </row>
    <row r="61" spans="1:2" x14ac:dyDescent="0.25">
      <c r="A61" s="8" t="s">
        <v>4</v>
      </c>
      <c r="B61">
        <v>800</v>
      </c>
    </row>
    <row r="62" spans="1:2" x14ac:dyDescent="0.25">
      <c r="A62" s="8" t="s">
        <v>11</v>
      </c>
      <c r="B62">
        <v>-1725</v>
      </c>
    </row>
    <row r="63" spans="1:2" x14ac:dyDescent="0.25">
      <c r="A63" s="8" t="s">
        <v>13</v>
      </c>
      <c r="B63">
        <v>1607</v>
      </c>
    </row>
    <row r="64" spans="1:2" x14ac:dyDescent="0.25">
      <c r="A64" s="8" t="s">
        <v>48</v>
      </c>
      <c r="B64">
        <v>0</v>
      </c>
    </row>
    <row r="65" spans="1:2" x14ac:dyDescent="0.25">
      <c r="A65" s="8" t="s">
        <v>1</v>
      </c>
      <c r="B65">
        <v>0</v>
      </c>
    </row>
    <row r="66" spans="1:2" x14ac:dyDescent="0.25">
      <c r="A66" s="8" t="s">
        <v>2</v>
      </c>
      <c r="B66">
        <v>1280</v>
      </c>
    </row>
    <row r="67" spans="1:2" x14ac:dyDescent="0.25">
      <c r="A67" s="8" t="s">
        <v>4</v>
      </c>
      <c r="B67">
        <v>1800</v>
      </c>
    </row>
    <row r="68" spans="1:2" x14ac:dyDescent="0.25">
      <c r="A68" s="8" t="s">
        <v>6</v>
      </c>
      <c r="B68">
        <v>3080</v>
      </c>
    </row>
    <row r="69" spans="1:2" x14ac:dyDescent="0.25">
      <c r="A69" s="8" t="s">
        <v>8</v>
      </c>
      <c r="B69">
        <v>0</v>
      </c>
    </row>
    <row r="70" spans="1:2" x14ac:dyDescent="0.25">
      <c r="A70" s="8" t="s">
        <v>2</v>
      </c>
      <c r="B70">
        <v>925</v>
      </c>
    </row>
    <row r="71" spans="1:2" x14ac:dyDescent="0.25">
      <c r="A71" s="8" t="s">
        <v>4</v>
      </c>
      <c r="B71">
        <v>800</v>
      </c>
    </row>
    <row r="72" spans="1:2" x14ac:dyDescent="0.25">
      <c r="A72" s="8" t="s">
        <v>11</v>
      </c>
      <c r="B72">
        <v>-1725</v>
      </c>
    </row>
    <row r="73" spans="1:2" x14ac:dyDescent="0.25">
      <c r="A73" s="8" t="s">
        <v>13</v>
      </c>
      <c r="B73">
        <v>1355</v>
      </c>
    </row>
    <row r="74" spans="1:2" x14ac:dyDescent="0.25">
      <c r="A74" s="8" t="s">
        <v>31</v>
      </c>
      <c r="B74">
        <v>0</v>
      </c>
    </row>
    <row r="75" spans="1:2" x14ac:dyDescent="0.25">
      <c r="A75" s="8" t="s">
        <v>53</v>
      </c>
      <c r="B75">
        <v>410</v>
      </c>
    </row>
    <row r="76" spans="1:2" x14ac:dyDescent="0.25">
      <c r="A76" s="8" t="s">
        <v>34</v>
      </c>
      <c r="B76">
        <v>-410</v>
      </c>
    </row>
    <row r="77" spans="1:2" x14ac:dyDescent="0.25">
      <c r="A77" s="8" t="s">
        <v>36</v>
      </c>
      <c r="B77">
        <v>945</v>
      </c>
    </row>
    <row r="78" spans="1:2" x14ac:dyDescent="0.25">
      <c r="A78" s="8" t="s">
        <v>57</v>
      </c>
      <c r="B78">
        <v>0</v>
      </c>
    </row>
    <row r="79" spans="1:2" x14ac:dyDescent="0.25">
      <c r="A79" s="8" t="s">
        <v>1</v>
      </c>
      <c r="B79">
        <v>0</v>
      </c>
    </row>
    <row r="80" spans="1:2" x14ac:dyDescent="0.25">
      <c r="A80" s="8" t="s">
        <v>2</v>
      </c>
      <c r="B80">
        <v>775</v>
      </c>
    </row>
    <row r="81" spans="1:2" x14ac:dyDescent="0.25">
      <c r="A81" s="8" t="s">
        <v>4</v>
      </c>
      <c r="B81">
        <v>1600</v>
      </c>
    </row>
    <row r="82" spans="1:2" x14ac:dyDescent="0.25">
      <c r="A82" s="8" t="s">
        <v>6</v>
      </c>
      <c r="B82">
        <v>2375</v>
      </c>
    </row>
    <row r="83" spans="1:2" x14ac:dyDescent="0.25">
      <c r="A83" s="8" t="s">
        <v>8</v>
      </c>
      <c r="B83">
        <v>0</v>
      </c>
    </row>
    <row r="84" spans="1:2" x14ac:dyDescent="0.25">
      <c r="A84" s="8" t="s">
        <v>2</v>
      </c>
      <c r="B84">
        <v>630</v>
      </c>
    </row>
    <row r="85" spans="1:2" x14ac:dyDescent="0.25">
      <c r="A85" s="8" t="s">
        <v>4</v>
      </c>
      <c r="B85">
        <v>800</v>
      </c>
    </row>
    <row r="86" spans="1:2" x14ac:dyDescent="0.25">
      <c r="A86" s="8" t="s">
        <v>11</v>
      </c>
      <c r="B86">
        <v>-1430</v>
      </c>
    </row>
    <row r="87" spans="1:2" x14ac:dyDescent="0.25">
      <c r="A87" s="8" t="s">
        <v>13</v>
      </c>
      <c r="B87">
        <v>945</v>
      </c>
    </row>
    <row r="88" spans="1:2" x14ac:dyDescent="0.25">
      <c r="A88" s="8" t="s">
        <v>31</v>
      </c>
      <c r="B88">
        <v>0</v>
      </c>
    </row>
    <row r="89" spans="1:2" x14ac:dyDescent="0.25">
      <c r="A89" s="8" t="s">
        <v>62</v>
      </c>
      <c r="B89">
        <v>820</v>
      </c>
    </row>
    <row r="90" spans="1:2" x14ac:dyDescent="0.25">
      <c r="A90" s="8" t="s">
        <v>34</v>
      </c>
      <c r="B90">
        <v>-820</v>
      </c>
    </row>
    <row r="91" spans="1:2" x14ac:dyDescent="0.25">
      <c r="A91" s="8" t="s">
        <v>63</v>
      </c>
      <c r="B91">
        <v>0</v>
      </c>
    </row>
    <row r="92" spans="1:2" x14ac:dyDescent="0.25">
      <c r="A92" s="8" t="s">
        <v>64</v>
      </c>
      <c r="B92">
        <v>100</v>
      </c>
    </row>
    <row r="93" spans="1:2" x14ac:dyDescent="0.25">
      <c r="A93" s="8" t="s">
        <v>66</v>
      </c>
      <c r="B93">
        <v>100</v>
      </c>
    </row>
    <row r="94" spans="1:2" x14ac:dyDescent="0.25">
      <c r="A94" s="8" t="s">
        <v>36</v>
      </c>
      <c r="B94">
        <v>225</v>
      </c>
    </row>
    <row r="95" spans="1:2" x14ac:dyDescent="0.25">
      <c r="A95" s="8" t="s">
        <v>68</v>
      </c>
      <c r="B95">
        <v>0</v>
      </c>
    </row>
    <row r="96" spans="1:2" x14ac:dyDescent="0.25">
      <c r="A96" s="8" t="s">
        <v>1</v>
      </c>
      <c r="B96">
        <v>0</v>
      </c>
    </row>
    <row r="97" spans="1:2" x14ac:dyDescent="0.25">
      <c r="A97" s="8" t="s">
        <v>2</v>
      </c>
      <c r="B97">
        <v>1025</v>
      </c>
    </row>
    <row r="98" spans="1:2" x14ac:dyDescent="0.25">
      <c r="A98" s="8" t="s">
        <v>4</v>
      </c>
      <c r="B98">
        <v>1600</v>
      </c>
    </row>
    <row r="99" spans="1:2" x14ac:dyDescent="0.25">
      <c r="A99" s="8" t="s">
        <v>6</v>
      </c>
      <c r="B99">
        <v>2625</v>
      </c>
    </row>
    <row r="100" spans="1:2" x14ac:dyDescent="0.25">
      <c r="A100" s="8" t="s">
        <v>8</v>
      </c>
      <c r="B100">
        <v>0</v>
      </c>
    </row>
    <row r="101" spans="1:2" x14ac:dyDescent="0.25">
      <c r="A101" s="8" t="s">
        <v>2</v>
      </c>
      <c r="B101">
        <v>630</v>
      </c>
    </row>
    <row r="102" spans="1:2" x14ac:dyDescent="0.25">
      <c r="A102" s="8" t="s">
        <v>4</v>
      </c>
      <c r="B102">
        <v>800</v>
      </c>
    </row>
    <row r="103" spans="1:2" x14ac:dyDescent="0.25">
      <c r="A103" s="8" t="s">
        <v>11</v>
      </c>
      <c r="B103">
        <v>-1430</v>
      </c>
    </row>
    <row r="104" spans="1:2" x14ac:dyDescent="0.25">
      <c r="A104" s="8" t="s">
        <v>13</v>
      </c>
      <c r="B104">
        <v>1195</v>
      </c>
    </row>
    <row r="105" spans="1:2" x14ac:dyDescent="0.25">
      <c r="A105" s="8" t="s">
        <v>31</v>
      </c>
      <c r="B105">
        <v>0</v>
      </c>
    </row>
    <row r="106" spans="1:2" x14ac:dyDescent="0.25">
      <c r="A106" s="8" t="s">
        <v>72</v>
      </c>
      <c r="B106">
        <v>410</v>
      </c>
    </row>
    <row r="107" spans="1:2" x14ac:dyDescent="0.25">
      <c r="A107" s="8" t="s">
        <v>34</v>
      </c>
      <c r="B107">
        <v>-410</v>
      </c>
    </row>
    <row r="108" spans="1:2" x14ac:dyDescent="0.25">
      <c r="A108" s="8" t="s">
        <v>36</v>
      </c>
      <c r="B108">
        <v>785</v>
      </c>
    </row>
    <row r="109" spans="1:2" x14ac:dyDescent="0.25">
      <c r="A109" s="8" t="s">
        <v>74</v>
      </c>
      <c r="B109">
        <v>0</v>
      </c>
    </row>
    <row r="110" spans="1:2" x14ac:dyDescent="0.25">
      <c r="A110" s="8" t="s">
        <v>1</v>
      </c>
      <c r="B110">
        <v>0</v>
      </c>
    </row>
    <row r="111" spans="1:2" x14ac:dyDescent="0.25">
      <c r="A111" s="8" t="s">
        <v>2</v>
      </c>
      <c r="B111">
        <v>740</v>
      </c>
    </row>
    <row r="112" spans="1:2" x14ac:dyDescent="0.25">
      <c r="A112" s="8" t="s">
        <v>4</v>
      </c>
      <c r="B112">
        <v>1600</v>
      </c>
    </row>
    <row r="113" spans="1:2" x14ac:dyDescent="0.25">
      <c r="A113" s="8" t="s">
        <v>6</v>
      </c>
      <c r="B113">
        <v>2340</v>
      </c>
    </row>
    <row r="114" spans="1:2" x14ac:dyDescent="0.25">
      <c r="A114" s="8" t="s">
        <v>8</v>
      </c>
      <c r="B114">
        <v>0</v>
      </c>
    </row>
    <row r="115" spans="1:2" x14ac:dyDescent="0.25">
      <c r="A115" s="8" t="s">
        <v>2</v>
      </c>
      <c r="B115">
        <v>700</v>
      </c>
    </row>
    <row r="116" spans="1:2" x14ac:dyDescent="0.25">
      <c r="A116" s="8" t="s">
        <v>4</v>
      </c>
      <c r="B116">
        <v>800</v>
      </c>
    </row>
    <row r="117" spans="1:2" x14ac:dyDescent="0.25">
      <c r="A117" s="8" t="s">
        <v>11</v>
      </c>
      <c r="B117">
        <v>-1500</v>
      </c>
    </row>
    <row r="118" spans="1:2" x14ac:dyDescent="0.25">
      <c r="A118" s="8" t="s">
        <v>13</v>
      </c>
      <c r="B118">
        <v>840</v>
      </c>
    </row>
    <row r="119" spans="1:2" x14ac:dyDescent="0.25">
      <c r="A119" s="8" t="s">
        <v>80</v>
      </c>
      <c r="B119">
        <v>0</v>
      </c>
    </row>
    <row r="120" spans="1:2" x14ac:dyDescent="0.25">
      <c r="A120" s="8" t="s">
        <v>1</v>
      </c>
      <c r="B120">
        <v>0</v>
      </c>
    </row>
    <row r="121" spans="1:2" x14ac:dyDescent="0.25">
      <c r="A121" s="8" t="s">
        <v>2</v>
      </c>
      <c r="B121">
        <v>1540</v>
      </c>
    </row>
    <row r="122" spans="1:2" x14ac:dyDescent="0.25">
      <c r="A122" s="8" t="s">
        <v>4</v>
      </c>
      <c r="B122">
        <v>1600</v>
      </c>
    </row>
    <row r="123" spans="1:2" x14ac:dyDescent="0.25">
      <c r="A123" s="8" t="s">
        <v>6</v>
      </c>
      <c r="B123">
        <v>3140</v>
      </c>
    </row>
    <row r="124" spans="1:2" x14ac:dyDescent="0.25">
      <c r="A124" s="8" t="s">
        <v>8</v>
      </c>
      <c r="B124">
        <v>0</v>
      </c>
    </row>
    <row r="125" spans="1:2" x14ac:dyDescent="0.25">
      <c r="A125" s="8" t="s">
        <v>2</v>
      </c>
      <c r="B125">
        <v>700</v>
      </c>
    </row>
    <row r="126" spans="1:2" x14ac:dyDescent="0.25">
      <c r="A126" s="8" t="s">
        <v>4</v>
      </c>
      <c r="B126">
        <v>800</v>
      </c>
    </row>
    <row r="127" spans="1:2" x14ac:dyDescent="0.25">
      <c r="A127" s="8" t="s">
        <v>11</v>
      </c>
      <c r="B127">
        <v>-1500</v>
      </c>
    </row>
    <row r="128" spans="1:2" x14ac:dyDescent="0.25">
      <c r="A128" s="8" t="s">
        <v>13</v>
      </c>
      <c r="B128">
        <v>1640</v>
      </c>
    </row>
    <row r="129" spans="1:2" x14ac:dyDescent="0.25">
      <c r="A129" s="8" t="s">
        <v>31</v>
      </c>
      <c r="B129">
        <v>0</v>
      </c>
    </row>
    <row r="130" spans="1:2" x14ac:dyDescent="0.25">
      <c r="A130" s="8" t="s">
        <v>84</v>
      </c>
      <c r="B130">
        <v>2550</v>
      </c>
    </row>
    <row r="131" spans="1:2" x14ac:dyDescent="0.25">
      <c r="A131" s="8" t="s">
        <v>34</v>
      </c>
      <c r="B131">
        <v>-2550</v>
      </c>
    </row>
    <row r="132" spans="1:2" x14ac:dyDescent="0.25">
      <c r="A132" s="8" t="s">
        <v>36</v>
      </c>
      <c r="B132">
        <v>-910</v>
      </c>
    </row>
    <row r="133" spans="1:2" x14ac:dyDescent="0.25">
      <c r="A133" s="8" t="s">
        <v>88</v>
      </c>
      <c r="B133">
        <v>0</v>
      </c>
    </row>
    <row r="134" spans="1:2" x14ac:dyDescent="0.25">
      <c r="A134" s="8" t="s">
        <v>1</v>
      </c>
      <c r="B134">
        <v>0</v>
      </c>
    </row>
    <row r="135" spans="1:2" x14ac:dyDescent="0.25">
      <c r="A135" s="8" t="s">
        <v>2</v>
      </c>
      <c r="B135">
        <v>835</v>
      </c>
    </row>
    <row r="136" spans="1:2" x14ac:dyDescent="0.25">
      <c r="A136" s="8" t="s">
        <v>4</v>
      </c>
      <c r="B136">
        <v>1600</v>
      </c>
    </row>
    <row r="137" spans="1:2" x14ac:dyDescent="0.25">
      <c r="A137" s="8" t="s">
        <v>6</v>
      </c>
      <c r="B137">
        <v>2435</v>
      </c>
    </row>
    <row r="138" spans="1:2" x14ac:dyDescent="0.25">
      <c r="A138" s="8" t="s">
        <v>8</v>
      </c>
      <c r="B138">
        <v>0</v>
      </c>
    </row>
    <row r="139" spans="1:2" x14ac:dyDescent="0.25">
      <c r="A139" s="8" t="s">
        <v>2</v>
      </c>
      <c r="B139">
        <v>630</v>
      </c>
    </row>
    <row r="140" spans="1:2" x14ac:dyDescent="0.25">
      <c r="A140" s="8" t="s">
        <v>4</v>
      </c>
      <c r="B140">
        <v>800</v>
      </c>
    </row>
    <row r="141" spans="1:2" x14ac:dyDescent="0.25">
      <c r="A141" s="8" t="s">
        <v>11</v>
      </c>
      <c r="B141">
        <v>-1430</v>
      </c>
    </row>
    <row r="142" spans="1:2" x14ac:dyDescent="0.25">
      <c r="A142" s="8" t="s">
        <v>13</v>
      </c>
      <c r="B142">
        <v>1005</v>
      </c>
    </row>
    <row r="143" spans="1:2" x14ac:dyDescent="0.25">
      <c r="A143" s="8" t="s">
        <v>63</v>
      </c>
      <c r="B143">
        <v>0</v>
      </c>
    </row>
    <row r="144" spans="1:2" x14ac:dyDescent="0.25">
      <c r="A144" s="8" t="s">
        <v>92</v>
      </c>
      <c r="B144">
        <v>220</v>
      </c>
    </row>
    <row r="145" spans="1:2" x14ac:dyDescent="0.25">
      <c r="A145" s="8" t="s">
        <v>66</v>
      </c>
      <c r="B145">
        <v>220</v>
      </c>
    </row>
    <row r="146" spans="1:2" x14ac:dyDescent="0.25">
      <c r="A146" s="8" t="s">
        <v>36</v>
      </c>
      <c r="B146">
        <v>1225</v>
      </c>
    </row>
    <row r="147" spans="1:2" x14ac:dyDescent="0.25">
      <c r="A147" s="8" t="s">
        <v>95</v>
      </c>
      <c r="B147">
        <v>0</v>
      </c>
    </row>
    <row r="148" spans="1:2" x14ac:dyDescent="0.25">
      <c r="A148" s="8" t="s">
        <v>1</v>
      </c>
      <c r="B148">
        <v>0</v>
      </c>
    </row>
    <row r="149" spans="1:2" x14ac:dyDescent="0.25">
      <c r="A149" s="8" t="s">
        <v>2</v>
      </c>
      <c r="B149">
        <v>1620</v>
      </c>
    </row>
    <row r="150" spans="1:2" x14ac:dyDescent="0.25">
      <c r="A150" s="8" t="s">
        <v>4</v>
      </c>
      <c r="B150">
        <v>1485</v>
      </c>
    </row>
    <row r="151" spans="1:2" x14ac:dyDescent="0.25">
      <c r="A151" s="8" t="s">
        <v>6</v>
      </c>
      <c r="B151">
        <v>3105</v>
      </c>
    </row>
    <row r="152" spans="1:2" x14ac:dyDescent="0.25">
      <c r="A152" s="8" t="s">
        <v>8</v>
      </c>
      <c r="B152">
        <v>0</v>
      </c>
    </row>
    <row r="153" spans="1:2" x14ac:dyDescent="0.25">
      <c r="A153" s="8" t="s">
        <v>2</v>
      </c>
      <c r="B153">
        <v>630</v>
      </c>
    </row>
    <row r="154" spans="1:2" x14ac:dyDescent="0.25">
      <c r="A154" s="8" t="s">
        <v>4</v>
      </c>
      <c r="B154">
        <v>800</v>
      </c>
    </row>
    <row r="155" spans="1:2" x14ac:dyDescent="0.25">
      <c r="A155" s="8" t="s">
        <v>11</v>
      </c>
      <c r="B155">
        <v>-1430</v>
      </c>
    </row>
    <row r="156" spans="1:2" x14ac:dyDescent="0.25">
      <c r="A156" s="8" t="s">
        <v>13</v>
      </c>
      <c r="B156">
        <v>1675</v>
      </c>
    </row>
    <row r="157" spans="1:2" x14ac:dyDescent="0.25">
      <c r="A157" s="8" t="s">
        <v>31</v>
      </c>
      <c r="B157">
        <v>0</v>
      </c>
    </row>
    <row r="158" spans="1:2" x14ac:dyDescent="0.25">
      <c r="A158" s="8" t="s">
        <v>100</v>
      </c>
      <c r="B158">
        <v>350</v>
      </c>
    </row>
    <row r="159" spans="1:2" x14ac:dyDescent="0.25">
      <c r="A159" s="8" t="s">
        <v>102</v>
      </c>
      <c r="B159">
        <v>4260</v>
      </c>
    </row>
    <row r="160" spans="1:2" x14ac:dyDescent="0.25">
      <c r="A160" s="8" t="s">
        <v>34</v>
      </c>
      <c r="B160">
        <v>-4610</v>
      </c>
    </row>
    <row r="161" spans="1:2" x14ac:dyDescent="0.25">
      <c r="A161" s="8" t="s">
        <v>36</v>
      </c>
      <c r="B161">
        <v>-2935</v>
      </c>
    </row>
    <row r="162" spans="1:2" x14ac:dyDescent="0.25">
      <c r="A162" s="8" t="s">
        <v>106</v>
      </c>
      <c r="B162">
        <v>0</v>
      </c>
    </row>
    <row r="163" spans="1:2" x14ac:dyDescent="0.25">
      <c r="A163" s="8" t="s">
        <v>1</v>
      </c>
      <c r="B163">
        <v>0</v>
      </c>
    </row>
    <row r="164" spans="1:2" x14ac:dyDescent="0.25">
      <c r="A164" s="8" t="s">
        <v>2</v>
      </c>
      <c r="B164">
        <v>1220</v>
      </c>
    </row>
    <row r="165" spans="1:2" x14ac:dyDescent="0.25">
      <c r="A165" s="8" t="s">
        <v>4</v>
      </c>
      <c r="B165">
        <v>1900</v>
      </c>
    </row>
    <row r="166" spans="1:2" x14ac:dyDescent="0.25">
      <c r="A166" s="8" t="s">
        <v>6</v>
      </c>
      <c r="B166">
        <v>3120</v>
      </c>
    </row>
    <row r="167" spans="1:2" x14ac:dyDescent="0.25">
      <c r="A167" s="8" t="s">
        <v>8</v>
      </c>
      <c r="B167">
        <v>0</v>
      </c>
    </row>
    <row r="168" spans="1:2" x14ac:dyDescent="0.25">
      <c r="A168" s="8" t="s">
        <v>2</v>
      </c>
      <c r="B168">
        <v>945</v>
      </c>
    </row>
    <row r="169" spans="1:2" x14ac:dyDescent="0.25">
      <c r="A169" s="8" t="s">
        <v>4</v>
      </c>
      <c r="B169">
        <v>1000</v>
      </c>
    </row>
    <row r="170" spans="1:2" x14ac:dyDescent="0.25">
      <c r="A170" s="8" t="s">
        <v>11</v>
      </c>
      <c r="B170">
        <v>-1945</v>
      </c>
    </row>
    <row r="171" spans="1:2" x14ac:dyDescent="0.25">
      <c r="A171" s="8" t="s">
        <v>13</v>
      </c>
      <c r="B171">
        <v>1175</v>
      </c>
    </row>
    <row r="172" spans="1:2" x14ac:dyDescent="0.25">
      <c r="A172" s="8" t="s">
        <v>31</v>
      </c>
      <c r="B172">
        <v>0</v>
      </c>
    </row>
    <row r="173" spans="1:2" x14ac:dyDescent="0.25">
      <c r="A173" s="8" t="s">
        <v>113</v>
      </c>
      <c r="B173">
        <v>800</v>
      </c>
    </row>
    <row r="174" spans="1:2" x14ac:dyDescent="0.25">
      <c r="A174" s="8" t="s">
        <v>34</v>
      </c>
      <c r="B174">
        <v>-800</v>
      </c>
    </row>
    <row r="175" spans="1:2" x14ac:dyDescent="0.25">
      <c r="A175" s="8" t="s">
        <v>36</v>
      </c>
      <c r="B175">
        <v>375</v>
      </c>
    </row>
    <row r="176" spans="1:2" x14ac:dyDescent="0.25">
      <c r="A176" s="8" t="s">
        <v>116</v>
      </c>
      <c r="B176">
        <v>0</v>
      </c>
    </row>
    <row r="177" spans="1:2" x14ac:dyDescent="0.25">
      <c r="A177" s="8" t="s">
        <v>1</v>
      </c>
      <c r="B177">
        <v>0</v>
      </c>
    </row>
    <row r="178" spans="1:2" x14ac:dyDescent="0.25">
      <c r="A178" s="8" t="s">
        <v>2</v>
      </c>
      <c r="B178">
        <v>775</v>
      </c>
    </row>
    <row r="179" spans="1:2" x14ac:dyDescent="0.25">
      <c r="A179" s="8" t="s">
        <v>4</v>
      </c>
      <c r="B179">
        <v>1220</v>
      </c>
    </row>
    <row r="180" spans="1:2" x14ac:dyDescent="0.25">
      <c r="A180" s="8" t="s">
        <v>6</v>
      </c>
      <c r="B180">
        <v>1995</v>
      </c>
    </row>
    <row r="181" spans="1:2" x14ac:dyDescent="0.25">
      <c r="A181" s="8" t="s">
        <v>8</v>
      </c>
      <c r="B181">
        <v>0</v>
      </c>
    </row>
    <row r="182" spans="1:2" x14ac:dyDescent="0.25">
      <c r="A182" s="8" t="s">
        <v>2</v>
      </c>
      <c r="B182">
        <v>690</v>
      </c>
    </row>
    <row r="183" spans="1:2" x14ac:dyDescent="0.25">
      <c r="A183" s="8" t="s">
        <v>4</v>
      </c>
      <c r="B183">
        <v>800</v>
      </c>
    </row>
    <row r="184" spans="1:2" x14ac:dyDescent="0.25">
      <c r="A184" s="8" t="s">
        <v>11</v>
      </c>
      <c r="B184">
        <v>-1490</v>
      </c>
    </row>
    <row r="185" spans="1:2" x14ac:dyDescent="0.25">
      <c r="A185" s="8" t="s">
        <v>13</v>
      </c>
      <c r="B185">
        <v>505</v>
      </c>
    </row>
    <row r="186" spans="1:2" x14ac:dyDescent="0.25">
      <c r="A186" s="8" t="s">
        <v>31</v>
      </c>
      <c r="B186">
        <v>0</v>
      </c>
    </row>
    <row r="187" spans="1:2" x14ac:dyDescent="0.25">
      <c r="A187" s="8" t="s">
        <v>113</v>
      </c>
      <c r="B187">
        <v>800</v>
      </c>
    </row>
    <row r="188" spans="1:2" x14ac:dyDescent="0.25">
      <c r="A188" s="8" t="s">
        <v>34</v>
      </c>
      <c r="B188">
        <v>-800</v>
      </c>
    </row>
    <row r="189" spans="1:2" x14ac:dyDescent="0.25">
      <c r="A189" s="8" t="s">
        <v>36</v>
      </c>
      <c r="B189">
        <v>-295</v>
      </c>
    </row>
    <row r="190" spans="1:2" x14ac:dyDescent="0.25">
      <c r="A190" s="8" t="s">
        <v>122</v>
      </c>
      <c r="B190">
        <v>0</v>
      </c>
    </row>
    <row r="191" spans="1:2" x14ac:dyDescent="0.25">
      <c r="A191" s="8" t="s">
        <v>1</v>
      </c>
      <c r="B191">
        <v>0</v>
      </c>
    </row>
    <row r="192" spans="1:2" x14ac:dyDescent="0.25">
      <c r="A192" s="8" t="s">
        <v>2</v>
      </c>
      <c r="B192">
        <v>1520</v>
      </c>
    </row>
    <row r="193" spans="1:2" x14ac:dyDescent="0.25">
      <c r="A193" s="8" t="s">
        <v>4</v>
      </c>
      <c r="B193">
        <v>1400</v>
      </c>
    </row>
    <row r="194" spans="1:2" x14ac:dyDescent="0.25">
      <c r="A194" s="8" t="s">
        <v>6</v>
      </c>
      <c r="B194">
        <v>2920</v>
      </c>
    </row>
    <row r="195" spans="1:2" x14ac:dyDescent="0.25">
      <c r="A195" s="8" t="s">
        <v>8</v>
      </c>
      <c r="B195">
        <v>0</v>
      </c>
    </row>
    <row r="196" spans="1:2" x14ac:dyDescent="0.25">
      <c r="A196" s="8" t="s">
        <v>2</v>
      </c>
      <c r="B196">
        <v>690</v>
      </c>
    </row>
    <row r="197" spans="1:2" x14ac:dyDescent="0.25">
      <c r="A197" s="8" t="s">
        <v>4</v>
      </c>
      <c r="B197">
        <v>600</v>
      </c>
    </row>
    <row r="198" spans="1:2" x14ac:dyDescent="0.25">
      <c r="A198" s="8" t="s">
        <v>11</v>
      </c>
      <c r="B198">
        <v>-1290</v>
      </c>
    </row>
    <row r="199" spans="1:2" x14ac:dyDescent="0.25">
      <c r="A199" s="8" t="s">
        <v>13</v>
      </c>
      <c r="B199">
        <v>1630</v>
      </c>
    </row>
    <row r="200" spans="1:2" x14ac:dyDescent="0.25">
      <c r="A200" s="8" t="s">
        <v>31</v>
      </c>
      <c r="B200">
        <v>0</v>
      </c>
    </row>
    <row r="201" spans="1:2" x14ac:dyDescent="0.25">
      <c r="A201" s="8" t="s">
        <v>113</v>
      </c>
      <c r="B201">
        <v>800</v>
      </c>
    </row>
    <row r="202" spans="1:2" x14ac:dyDescent="0.25">
      <c r="A202" s="8" t="s">
        <v>34</v>
      </c>
      <c r="B202">
        <v>-800</v>
      </c>
    </row>
    <row r="203" spans="1:2" x14ac:dyDescent="0.25">
      <c r="A203" s="8" t="s">
        <v>36</v>
      </c>
      <c r="B203">
        <v>830</v>
      </c>
    </row>
    <row r="204" spans="1:2" x14ac:dyDescent="0.25">
      <c r="A204" s="8" t="s">
        <v>129</v>
      </c>
      <c r="B204">
        <v>0</v>
      </c>
    </row>
    <row r="205" spans="1:2" x14ac:dyDescent="0.25">
      <c r="A205" s="8" t="s">
        <v>1</v>
      </c>
      <c r="B205">
        <v>0</v>
      </c>
    </row>
    <row r="206" spans="1:2" x14ac:dyDescent="0.25">
      <c r="A206" s="8" t="s">
        <v>2</v>
      </c>
      <c r="B206">
        <v>1050</v>
      </c>
    </row>
    <row r="207" spans="1:2" x14ac:dyDescent="0.25">
      <c r="A207" s="8" t="s">
        <v>4</v>
      </c>
      <c r="B207">
        <v>1135</v>
      </c>
    </row>
    <row r="208" spans="1:2" x14ac:dyDescent="0.25">
      <c r="A208" s="8" t="s">
        <v>6</v>
      </c>
      <c r="B208">
        <v>2185</v>
      </c>
    </row>
    <row r="209" spans="1:2" x14ac:dyDescent="0.25">
      <c r="A209" s="8" t="s">
        <v>8</v>
      </c>
      <c r="B209">
        <v>0</v>
      </c>
    </row>
    <row r="210" spans="1:2" x14ac:dyDescent="0.25">
      <c r="A210" s="8" t="s">
        <v>2</v>
      </c>
      <c r="B210">
        <v>410</v>
      </c>
    </row>
    <row r="211" spans="1:2" x14ac:dyDescent="0.25">
      <c r="A211" s="8" t="s">
        <v>4</v>
      </c>
      <c r="B211">
        <v>800</v>
      </c>
    </row>
    <row r="212" spans="1:2" x14ac:dyDescent="0.25">
      <c r="A212" s="8" t="s">
        <v>11</v>
      </c>
      <c r="B212">
        <v>-1210</v>
      </c>
    </row>
    <row r="213" spans="1:2" x14ac:dyDescent="0.25">
      <c r="A213" s="8" t="s">
        <v>13</v>
      </c>
      <c r="B213">
        <v>975</v>
      </c>
    </row>
    <row r="214" spans="1:2" x14ac:dyDescent="0.25">
      <c r="A214" s="8" t="s">
        <v>31</v>
      </c>
      <c r="B214">
        <v>0</v>
      </c>
    </row>
    <row r="215" spans="1:2" x14ac:dyDescent="0.25">
      <c r="A215" s="8" t="s">
        <v>113</v>
      </c>
      <c r="B215">
        <v>800</v>
      </c>
    </row>
    <row r="216" spans="1:2" x14ac:dyDescent="0.25">
      <c r="A216" s="8" t="s">
        <v>34</v>
      </c>
      <c r="B216">
        <v>-800</v>
      </c>
    </row>
    <row r="217" spans="1:2" x14ac:dyDescent="0.25">
      <c r="A217" s="8" t="s">
        <v>36</v>
      </c>
      <c r="B217">
        <v>175</v>
      </c>
    </row>
    <row r="218" spans="1:2" x14ac:dyDescent="0.25">
      <c r="A218" s="8" t="s">
        <v>136</v>
      </c>
      <c r="B218">
        <v>0</v>
      </c>
    </row>
    <row r="219" spans="1:2" x14ac:dyDescent="0.25">
      <c r="A219" s="8" t="s">
        <v>1</v>
      </c>
      <c r="B219">
        <v>0</v>
      </c>
    </row>
    <row r="220" spans="1:2" x14ac:dyDescent="0.25">
      <c r="A220" s="8" t="s">
        <v>2</v>
      </c>
      <c r="B220">
        <v>1485</v>
      </c>
    </row>
    <row r="221" spans="1:2" x14ac:dyDescent="0.25">
      <c r="A221" s="8" t="s">
        <v>4</v>
      </c>
      <c r="B221">
        <v>1970</v>
      </c>
    </row>
    <row r="222" spans="1:2" x14ac:dyDescent="0.25">
      <c r="A222" s="8" t="s">
        <v>6</v>
      </c>
      <c r="B222">
        <v>3455</v>
      </c>
    </row>
    <row r="223" spans="1:2" x14ac:dyDescent="0.25">
      <c r="A223" s="8" t="s">
        <v>8</v>
      </c>
      <c r="B223">
        <v>0</v>
      </c>
    </row>
    <row r="224" spans="1:2" x14ac:dyDescent="0.25">
      <c r="A224" s="8" t="s">
        <v>2</v>
      </c>
      <c r="B224">
        <v>895</v>
      </c>
    </row>
    <row r="225" spans="1:2" x14ac:dyDescent="0.25">
      <c r="A225" s="8" t="s">
        <v>4</v>
      </c>
      <c r="B225">
        <v>800</v>
      </c>
    </row>
    <row r="226" spans="1:2" x14ac:dyDescent="0.25">
      <c r="A226" s="8" t="s">
        <v>11</v>
      </c>
      <c r="B226">
        <v>-1695</v>
      </c>
    </row>
    <row r="227" spans="1:2" x14ac:dyDescent="0.25">
      <c r="A227" s="8" t="s">
        <v>13</v>
      </c>
      <c r="B227">
        <v>1760</v>
      </c>
    </row>
    <row r="228" spans="1:2" x14ac:dyDescent="0.25">
      <c r="A228" s="8" t="s">
        <v>31</v>
      </c>
      <c r="B228">
        <v>0</v>
      </c>
    </row>
    <row r="229" spans="1:2" x14ac:dyDescent="0.25">
      <c r="A229" s="8" t="s">
        <v>113</v>
      </c>
      <c r="B229">
        <v>800</v>
      </c>
    </row>
    <row r="230" spans="1:2" x14ac:dyDescent="0.25">
      <c r="A230" s="8" t="s">
        <v>142</v>
      </c>
      <c r="B230">
        <v>50</v>
      </c>
    </row>
    <row r="231" spans="1:2" x14ac:dyDescent="0.25">
      <c r="A231" s="8" t="s">
        <v>34</v>
      </c>
      <c r="B231">
        <v>-850</v>
      </c>
    </row>
    <row r="232" spans="1:2" x14ac:dyDescent="0.25">
      <c r="A232" s="8" t="s">
        <v>36</v>
      </c>
      <c r="B232">
        <v>910</v>
      </c>
    </row>
    <row r="233" spans="1:2" x14ac:dyDescent="0.25">
      <c r="A233" s="8" t="s">
        <v>146</v>
      </c>
      <c r="B233">
        <v>0</v>
      </c>
    </row>
    <row r="234" spans="1:2" x14ac:dyDescent="0.25">
      <c r="A234" s="8" t="s">
        <v>1</v>
      </c>
      <c r="B234">
        <v>0</v>
      </c>
    </row>
    <row r="235" spans="1:2" x14ac:dyDescent="0.25">
      <c r="A235" s="8" t="s">
        <v>2</v>
      </c>
      <c r="B235">
        <v>1470</v>
      </c>
    </row>
    <row r="236" spans="1:2" x14ac:dyDescent="0.25">
      <c r="A236" s="8" t="s">
        <v>4</v>
      </c>
      <c r="B236">
        <v>1000</v>
      </c>
    </row>
    <row r="237" spans="1:2" x14ac:dyDescent="0.25">
      <c r="A237" s="8" t="s">
        <v>6</v>
      </c>
      <c r="B237">
        <v>2470</v>
      </c>
    </row>
    <row r="238" spans="1:2" x14ac:dyDescent="0.25">
      <c r="A238" s="8" t="s">
        <v>8</v>
      </c>
      <c r="B238">
        <v>0</v>
      </c>
    </row>
    <row r="239" spans="1:2" x14ac:dyDescent="0.25">
      <c r="A239" s="8" t="s">
        <v>2</v>
      </c>
      <c r="B239">
        <v>895</v>
      </c>
    </row>
    <row r="240" spans="1:2" x14ac:dyDescent="0.25">
      <c r="A240" s="8" t="s">
        <v>4</v>
      </c>
      <c r="B240">
        <v>500</v>
      </c>
    </row>
    <row r="241" spans="1:2" x14ac:dyDescent="0.25">
      <c r="A241" s="8" t="s">
        <v>11</v>
      </c>
      <c r="B241">
        <v>-1395</v>
      </c>
    </row>
    <row r="242" spans="1:2" x14ac:dyDescent="0.25">
      <c r="A242" s="8" t="s">
        <v>13</v>
      </c>
      <c r="B242">
        <v>1075</v>
      </c>
    </row>
    <row r="243" spans="1:2" x14ac:dyDescent="0.25">
      <c r="A243" s="8" t="s">
        <v>31</v>
      </c>
      <c r="B243">
        <v>0</v>
      </c>
    </row>
    <row r="244" spans="1:2" x14ac:dyDescent="0.25">
      <c r="A244" s="8" t="s">
        <v>113</v>
      </c>
      <c r="B244">
        <v>800</v>
      </c>
    </row>
    <row r="245" spans="1:2" x14ac:dyDescent="0.25">
      <c r="A245" s="8" t="s">
        <v>34</v>
      </c>
      <c r="B245">
        <v>-800</v>
      </c>
    </row>
    <row r="246" spans="1:2" x14ac:dyDescent="0.25">
      <c r="A246" s="8" t="s">
        <v>36</v>
      </c>
      <c r="B246">
        <v>275</v>
      </c>
    </row>
    <row r="247" spans="1:2" x14ac:dyDescent="0.25">
      <c r="A247" s="8" t="s">
        <v>153</v>
      </c>
      <c r="B247">
        <v>0</v>
      </c>
    </row>
    <row r="248" spans="1:2" x14ac:dyDescent="0.25">
      <c r="A248" s="8" t="s">
        <v>1</v>
      </c>
      <c r="B248">
        <v>0</v>
      </c>
    </row>
    <row r="249" spans="1:2" x14ac:dyDescent="0.25">
      <c r="A249" s="8" t="s">
        <v>2</v>
      </c>
      <c r="B249">
        <v>1585</v>
      </c>
    </row>
    <row r="250" spans="1:2" x14ac:dyDescent="0.25">
      <c r="A250" s="8" t="s">
        <v>4</v>
      </c>
      <c r="B250">
        <v>2845</v>
      </c>
    </row>
    <row r="251" spans="1:2" x14ac:dyDescent="0.25">
      <c r="A251" s="8" t="s">
        <v>6</v>
      </c>
      <c r="B251">
        <v>4430</v>
      </c>
    </row>
    <row r="252" spans="1:2" x14ac:dyDescent="0.25">
      <c r="A252" s="8" t="s">
        <v>8</v>
      </c>
      <c r="B252">
        <v>0</v>
      </c>
    </row>
    <row r="253" spans="1:2" x14ac:dyDescent="0.25">
      <c r="A253" s="8" t="s">
        <v>2</v>
      </c>
      <c r="B253">
        <v>1415</v>
      </c>
    </row>
    <row r="254" spans="1:2" x14ac:dyDescent="0.25">
      <c r="A254" s="8" t="s">
        <v>4</v>
      </c>
      <c r="B254">
        <v>1200</v>
      </c>
    </row>
    <row r="255" spans="1:2" x14ac:dyDescent="0.25">
      <c r="A255" s="8" t="s">
        <v>11</v>
      </c>
      <c r="B255">
        <v>-2615</v>
      </c>
    </row>
    <row r="256" spans="1:2" x14ac:dyDescent="0.25">
      <c r="A256" s="8" t="s">
        <v>13</v>
      </c>
      <c r="B256">
        <v>1815</v>
      </c>
    </row>
    <row r="257" spans="1:2" x14ac:dyDescent="0.25">
      <c r="A257" s="8" t="s">
        <v>31</v>
      </c>
      <c r="B257">
        <v>0</v>
      </c>
    </row>
    <row r="258" spans="1:2" x14ac:dyDescent="0.25">
      <c r="A258" s="8" t="s">
        <v>113</v>
      </c>
      <c r="B258">
        <v>800</v>
      </c>
    </row>
    <row r="259" spans="1:2" x14ac:dyDescent="0.25">
      <c r="A259" s="8" t="s">
        <v>34</v>
      </c>
      <c r="B259">
        <v>-800</v>
      </c>
    </row>
    <row r="260" spans="1:2" x14ac:dyDescent="0.25">
      <c r="A260" s="8" t="s">
        <v>36</v>
      </c>
      <c r="B260">
        <v>1015</v>
      </c>
    </row>
    <row r="261" spans="1:2" x14ac:dyDescent="0.25">
      <c r="A261" s="8" t="s">
        <v>161</v>
      </c>
      <c r="B261">
        <v>0</v>
      </c>
    </row>
    <row r="262" spans="1:2" x14ac:dyDescent="0.25">
      <c r="A262" s="8" t="s">
        <v>1</v>
      </c>
      <c r="B262">
        <v>0</v>
      </c>
    </row>
    <row r="263" spans="1:2" x14ac:dyDescent="0.25">
      <c r="A263" s="8" t="s">
        <v>2</v>
      </c>
      <c r="B263">
        <v>1780</v>
      </c>
    </row>
    <row r="264" spans="1:2" x14ac:dyDescent="0.25">
      <c r="A264" s="8" t="s">
        <v>4</v>
      </c>
      <c r="B264">
        <v>1620</v>
      </c>
    </row>
    <row r="265" spans="1:2" x14ac:dyDescent="0.25">
      <c r="A265" s="8" t="s">
        <v>6</v>
      </c>
      <c r="B265">
        <v>3400</v>
      </c>
    </row>
    <row r="266" spans="1:2" x14ac:dyDescent="0.25">
      <c r="A266" s="8" t="s">
        <v>8</v>
      </c>
      <c r="B266">
        <v>0</v>
      </c>
    </row>
    <row r="267" spans="1:2" x14ac:dyDescent="0.25">
      <c r="A267" s="8" t="s">
        <v>2</v>
      </c>
      <c r="B267">
        <v>895</v>
      </c>
    </row>
    <row r="268" spans="1:2" x14ac:dyDescent="0.25">
      <c r="A268" s="8" t="s">
        <v>4</v>
      </c>
      <c r="B268">
        <v>800</v>
      </c>
    </row>
    <row r="269" spans="1:2" x14ac:dyDescent="0.25">
      <c r="A269" s="8" t="s">
        <v>11</v>
      </c>
      <c r="B269">
        <v>-1695</v>
      </c>
    </row>
    <row r="270" spans="1:2" x14ac:dyDescent="0.25">
      <c r="A270" s="8" t="s">
        <v>13</v>
      </c>
      <c r="B270">
        <v>1705</v>
      </c>
    </row>
    <row r="271" spans="1:2" x14ac:dyDescent="0.25">
      <c r="A271" s="8" t="s">
        <v>31</v>
      </c>
      <c r="B271">
        <v>0</v>
      </c>
    </row>
    <row r="272" spans="1:2" x14ac:dyDescent="0.25">
      <c r="A272" s="8" t="s">
        <v>113</v>
      </c>
      <c r="B272">
        <v>800</v>
      </c>
    </row>
    <row r="273" spans="1:2" x14ac:dyDescent="0.25">
      <c r="A273" s="8" t="s">
        <v>165</v>
      </c>
      <c r="B273">
        <v>330</v>
      </c>
    </row>
    <row r="274" spans="1:2" x14ac:dyDescent="0.25">
      <c r="A274" s="8" t="s">
        <v>167</v>
      </c>
      <c r="B274">
        <v>11000</v>
      </c>
    </row>
    <row r="275" spans="1:2" x14ac:dyDescent="0.25">
      <c r="A275" s="8" t="s">
        <v>34</v>
      </c>
      <c r="B275">
        <v>-12130</v>
      </c>
    </row>
    <row r="276" spans="1:2" x14ac:dyDescent="0.25">
      <c r="A276" s="8" t="s">
        <v>36</v>
      </c>
      <c r="B276">
        <v>-10425</v>
      </c>
    </row>
    <row r="277" spans="1:2" x14ac:dyDescent="0.25">
      <c r="A277" s="8" t="s">
        <v>171</v>
      </c>
      <c r="B277">
        <v>0</v>
      </c>
    </row>
    <row r="278" spans="1:2" x14ac:dyDescent="0.25">
      <c r="A278" s="8" t="s">
        <v>1</v>
      </c>
      <c r="B278">
        <v>0</v>
      </c>
    </row>
    <row r="279" spans="1:2" x14ac:dyDescent="0.25">
      <c r="A279" s="8" t="s">
        <v>2</v>
      </c>
      <c r="B279">
        <v>1485</v>
      </c>
    </row>
    <row r="280" spans="1:2" x14ac:dyDescent="0.25">
      <c r="A280" s="8" t="s">
        <v>4</v>
      </c>
      <c r="B280">
        <v>1500</v>
      </c>
    </row>
    <row r="281" spans="1:2" x14ac:dyDescent="0.25">
      <c r="A281" s="8" t="s">
        <v>6</v>
      </c>
      <c r="B281">
        <v>2985</v>
      </c>
    </row>
    <row r="282" spans="1:2" x14ac:dyDescent="0.25">
      <c r="A282" s="8" t="s">
        <v>8</v>
      </c>
      <c r="B282">
        <v>0</v>
      </c>
    </row>
    <row r="283" spans="1:2" x14ac:dyDescent="0.25">
      <c r="A283" s="8" t="s">
        <v>2</v>
      </c>
      <c r="B283">
        <v>895</v>
      </c>
    </row>
    <row r="284" spans="1:2" x14ac:dyDescent="0.25">
      <c r="A284" s="8" t="s">
        <v>4</v>
      </c>
      <c r="B284">
        <v>800</v>
      </c>
    </row>
    <row r="285" spans="1:2" x14ac:dyDescent="0.25">
      <c r="A285" s="8" t="s">
        <v>11</v>
      </c>
      <c r="B285">
        <v>-1695</v>
      </c>
    </row>
    <row r="286" spans="1:2" x14ac:dyDescent="0.25">
      <c r="A286" s="8" t="s">
        <v>13</v>
      </c>
      <c r="B286">
        <v>1290</v>
      </c>
    </row>
    <row r="287" spans="1:2" x14ac:dyDescent="0.25">
      <c r="A287" s="8" t="s">
        <v>31</v>
      </c>
      <c r="B287">
        <v>0</v>
      </c>
    </row>
    <row r="288" spans="1:2" x14ac:dyDescent="0.25">
      <c r="A288" s="8" t="s">
        <v>113</v>
      </c>
      <c r="B288">
        <v>800</v>
      </c>
    </row>
    <row r="289" spans="1:2" x14ac:dyDescent="0.25">
      <c r="A289" s="8" t="s">
        <v>175</v>
      </c>
      <c r="B289">
        <v>1215</v>
      </c>
    </row>
    <row r="290" spans="1:2" x14ac:dyDescent="0.25">
      <c r="A290" s="8" t="s">
        <v>34</v>
      </c>
      <c r="B290">
        <v>-2015</v>
      </c>
    </row>
    <row r="291" spans="1:2" x14ac:dyDescent="0.25">
      <c r="A291" s="8" t="s">
        <v>36</v>
      </c>
      <c r="B291">
        <v>-725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Caritas Support</cp:lastModifiedBy>
  <dcterms:created xsi:type="dcterms:W3CDTF">2025-01-24T20:09:24Z</dcterms:created>
  <dcterms:modified xsi:type="dcterms:W3CDTF">2025-01-24T20:18:59Z</dcterms:modified>
</cp:coreProperties>
</file>